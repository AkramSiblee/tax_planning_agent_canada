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07c16c34f2daf9f/Google Drive Docs/Biz Infograph/Claude/tax-planning-agent_rate_llm/tests/fixtures/"/>
    </mc:Choice>
  </mc:AlternateContent>
  <xr:revisionPtr revIDLastSave="11" documentId="11_CE685CBB96285ABD108E2FDED034EC30A0E70B29" xr6:coauthVersionLast="47" xr6:coauthVersionMax="47" xr10:uidLastSave="{A7B656DA-048F-4B66-AAC9-D379948FB149}"/>
  <bookViews>
    <workbookView xWindow="-108" yWindow="-108" windowWidth="23256" windowHeight="12456" tabRatio="500" xr2:uid="{00000000-000D-0000-FFFF-FFFF00000000}"/>
  </bookViews>
  <sheets>
    <sheet name="README" sheetId="1" r:id="rId1"/>
    <sheet name="Dashboard" sheetId="2" r:id="rId2"/>
    <sheet name="1. Entity Setup" sheetId="3" r:id="rId3"/>
    <sheet name="2. Provincial Allocation" sheetId="4" r:id="rId4"/>
    <sheet name="3. Income Statement" sheetId="5" r:id="rId5"/>
    <sheet name="4. Balance Sheet" sheetId="6" r:id="rId6"/>
    <sheet name="5. Prior-Year Tax Attributes" sheetId="7" r:id="rId7"/>
    <sheet name="6. CCA Continuity" sheetId="8" r:id="rId8"/>
    <sheet name="7. Associated Corporations" sheetId="9" r:id="rId9"/>
    <sheet name="8. Shareholders &amp; TOSI" sheetId="10" r:id="rId10"/>
    <sheet name="9. Payroll Register" sheetId="11" r:id="rId11"/>
    <sheet name="10. GST-HST" sheetId="12" r:id="rId12"/>
    <sheet name="11. Instalments &amp; Compliance" sheetId="13" r:id="rId13"/>
    <sheet name="12. Credits &amp; Incentives" sheetId="14" r:id="rId14"/>
    <sheet name="13. Special Items" sheetId="15" r:id="rId15"/>
    <sheet name="Province Rate Reference" sheetId="16" r:id="rId16"/>
    <sheet name="Lists" sheetId="17" state="hidden"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4" l="1"/>
  <c r="C18" i="14"/>
  <c r="C9" i="14"/>
  <c r="B20" i="13"/>
  <c r="B32" i="2" s="1"/>
  <c r="C10" i="13"/>
  <c r="C25" i="12"/>
  <c r="C15" i="12"/>
  <c r="C21" i="11"/>
  <c r="H13" i="11"/>
  <c r="G13" i="11"/>
  <c r="F13" i="11"/>
  <c r="C18" i="11" s="1"/>
  <c r="B49" i="2" s="1"/>
  <c r="E13" i="11"/>
  <c r="C17" i="11" s="1"/>
  <c r="D13" i="11"/>
  <c r="C16" i="11" s="1"/>
  <c r="C13" i="11"/>
  <c r="B48" i="2" s="1"/>
  <c r="I11" i="10"/>
  <c r="A57" i="2" s="1"/>
  <c r="E11" i="10"/>
  <c r="D11" i="10"/>
  <c r="F10" i="9"/>
  <c r="F11" i="9" s="1"/>
  <c r="E13" i="8"/>
  <c r="C13" i="8"/>
  <c r="B13" i="8"/>
  <c r="F12" i="8"/>
  <c r="H12" i="8" s="1"/>
  <c r="I12" i="8" s="1"/>
  <c r="F11" i="8"/>
  <c r="H11" i="8" s="1"/>
  <c r="I11" i="8" s="1"/>
  <c r="F10" i="8"/>
  <c r="H10" i="8" s="1"/>
  <c r="I10" i="8" s="1"/>
  <c r="F9" i="8"/>
  <c r="H9" i="8" s="1"/>
  <c r="I9" i="8" s="1"/>
  <c r="F8" i="8"/>
  <c r="H8" i="8" s="1"/>
  <c r="I8" i="8" s="1"/>
  <c r="F7" i="8"/>
  <c r="H7" i="8" s="1"/>
  <c r="I7" i="8" s="1"/>
  <c r="F6" i="8"/>
  <c r="H6" i="8" s="1"/>
  <c r="I6" i="8" s="1"/>
  <c r="F5" i="8"/>
  <c r="H5" i="8" s="1"/>
  <c r="I5" i="8" s="1"/>
  <c r="F4" i="8"/>
  <c r="H4" i="8" s="1"/>
  <c r="C19" i="7"/>
  <c r="C18" i="7"/>
  <c r="C17" i="7"/>
  <c r="C16" i="7"/>
  <c r="B27" i="6"/>
  <c r="B15" i="6"/>
  <c r="B48" i="5"/>
  <c r="B17" i="2" s="1"/>
  <c r="B43" i="5"/>
  <c r="B31" i="5"/>
  <c r="B14" i="5"/>
  <c r="B9" i="5"/>
  <c r="C14" i="4"/>
  <c r="B14" i="4"/>
  <c r="E12" i="4"/>
  <c r="D12" i="4"/>
  <c r="F12" i="4" s="1"/>
  <c r="E11" i="4"/>
  <c r="D11" i="4"/>
  <c r="F11" i="4" s="1"/>
  <c r="E10" i="4"/>
  <c r="D10" i="4"/>
  <c r="F10" i="4" s="1"/>
  <c r="E9" i="4"/>
  <c r="D9" i="4"/>
  <c r="F9" i="4" s="1"/>
  <c r="E8" i="4"/>
  <c r="D8" i="4"/>
  <c r="F8" i="4" s="1"/>
  <c r="E7" i="4"/>
  <c r="D7" i="4"/>
  <c r="F7" i="4" s="1"/>
  <c r="E6" i="4"/>
  <c r="D6" i="4"/>
  <c r="F6" i="4" s="1"/>
  <c r="E5" i="4"/>
  <c r="D5" i="4"/>
  <c r="F5" i="4" s="1"/>
  <c r="B53" i="2"/>
  <c r="B52" i="2"/>
  <c r="B44" i="2"/>
  <c r="B43" i="2"/>
  <c r="B40" i="2"/>
  <c r="B42" i="2" s="1"/>
  <c r="B38" i="2"/>
  <c r="B8" i="2"/>
  <c r="B7" i="2"/>
  <c r="B6" i="2"/>
  <c r="B5" i="2"/>
  <c r="B45" i="2" l="1"/>
  <c r="A58" i="2"/>
  <c r="I4" i="8"/>
  <c r="I13" i="8" s="1"/>
  <c r="H13" i="8"/>
  <c r="B51" i="2" s="1"/>
  <c r="B41" i="6"/>
  <c r="E5" i="9" s="1"/>
  <c r="E10" i="9" s="1"/>
  <c r="B19" i="2" s="1"/>
  <c r="B20" i="2" s="1"/>
  <c r="B18" i="2"/>
  <c r="B37" i="2"/>
  <c r="B39" i="2" s="1"/>
  <c r="B41" i="2" s="1"/>
  <c r="C10" i="12"/>
  <c r="C16" i="12" s="1"/>
  <c r="C28" i="12" s="1"/>
  <c r="B15" i="5"/>
  <c r="B32" i="5" s="1"/>
  <c r="F14" i="4"/>
  <c r="B12" i="2"/>
  <c r="B13" i="2" s="1"/>
  <c r="B30" i="2" s="1"/>
  <c r="B11" i="2"/>
  <c r="B25" i="2" l="1"/>
  <c r="B21" i="2"/>
  <c r="B22" i="2" s="1"/>
  <c r="A56" i="2"/>
  <c r="C29" i="12"/>
  <c r="B50" i="2"/>
  <c r="B44" i="5"/>
  <c r="B49" i="5" s="1"/>
  <c r="B47" i="5"/>
  <c r="G5" i="4" l="1"/>
  <c r="G6" i="4"/>
  <c r="G7" i="4"/>
  <c r="G8" i="4"/>
  <c r="G9" i="4"/>
  <c r="G10" i="4"/>
  <c r="G11" i="4"/>
  <c r="G12" i="4"/>
  <c r="B33" i="6"/>
  <c r="B34" i="6" s="1"/>
  <c r="D5" i="9"/>
  <c r="D10" i="9" s="1"/>
  <c r="B16" i="2"/>
  <c r="B37" i="6" l="1"/>
  <c r="B36" i="6"/>
  <c r="B23" i="2"/>
  <c r="B28" i="2" s="1"/>
  <c r="B31" i="2" s="1"/>
  <c r="B24" i="2"/>
  <c r="B29" i="2" s="1"/>
  <c r="B33" i="2" l="1"/>
  <c r="B34" i="2"/>
</calcChain>
</file>

<file path=xl/sharedStrings.xml><?xml version="1.0" encoding="utf-8"?>
<sst xmlns="http://schemas.openxmlformats.org/spreadsheetml/2006/main" count="665" uniqueCount="540">
  <si>
    <t>CCPC Corporate Tax Planning &amp; Compliance Intake Workbook</t>
  </si>
  <si>
    <t>COMPLETED SAMPLE SUBMISSION — Northern Peak Consulting Inc., FY2025 (Alberta CCPC)  |  Prepared for professional review — not a substitute for filed tax advice</t>
  </si>
  <si>
    <t>PURPOSE</t>
  </si>
  <si>
    <t>This workbook collects the complete financial, ownership, and compliance information needed to assess a CCPC's current-year tax position (federal + provincial corporate income tax, GST/HST, payroll remittances) and to model forward-looking planning strategies (salary vs. dividend mix, SBD protection, RDTOH/GRIP/CDA recovery, CCA timing, associated-corporation structuring, TOSI exposure). It is designed for use by, or in collaboration with, an accountant or tax professional.</t>
  </si>
  <si>
    <t>HOW TO USE THIS WORKBOOK</t>
  </si>
  <si>
    <t>1. Start at the '1. Entity Setup' tab. Select your Province/Territory from the dropdown — this drives all rate lookups on the Dashboard.</t>
  </si>
  <si>
    <t>2. Work through each tab in order (tab colour indicates status — see legend below). Each table's first data row is a greyed-out SAMPLE row showing a realistic complex CCPC scenario ('Northern Peak Consulting Inc.') — read it for guidance, then enter your own data in the rows below it.</t>
  </si>
  <si>
    <t>3. Cells shaded yellow are for your input. Cells with grey italic text are placeholder examples (e.g., 'e.g., 123456789RC0001') — overwrite them with your own figures.</t>
  </si>
  <si>
    <t>4. Do not edit cells with black or green text — these contain formulas that calculate automatically from your inputs.</t>
  </si>
  <si>
    <t>5. If any prior-year balance (RDTOH, GRIP, CDA, loss carryforwards) is unknown, enter 0 and flag it for your accountant to confirm from the prior-year T2 schedules — do NOT guess, as these materially change the output.</t>
  </si>
  <si>
    <t>6. Review the 'Dashboard' tab last — it summarizes current tax position and planning flags computed from everything you entered.</t>
  </si>
  <si>
    <t>COLOUR &amp; FORMAT LEGEND</t>
  </si>
  <si>
    <t>Style</t>
  </si>
  <si>
    <t>Meaning</t>
  </si>
  <si>
    <t>Yellow fill, blue text</t>
  </si>
  <si>
    <t>Your input — type your own figures here</t>
  </si>
  <si>
    <t>Grey fill, italic text (marked SAMPLE)</t>
  </si>
  <si>
    <t>Illustrative example row — read for format, then overwrite/replace below it</t>
  </si>
  <si>
    <t>Grey italic text only (no fill change)</t>
  </si>
  <si>
    <t>Placeholder example text — delete and type your real value</t>
  </si>
  <si>
    <t>Black text</t>
  </si>
  <si>
    <t>Calculated formula — do not overwrite</t>
  </si>
  <si>
    <t>Green text</t>
  </si>
  <si>
    <t>Value linked from another tab — do not overwrite</t>
  </si>
  <si>
    <t>Red italic text</t>
  </si>
  <si>
    <t>Warning / rule that needs professional confirmation</t>
  </si>
  <si>
    <t>WORKBOOK CONTENTS</t>
  </si>
  <si>
    <t>• 1. Entity Setup</t>
  </si>
  <si>
    <t>• 2. Provincial Allocation (Multi-PE)</t>
  </si>
  <si>
    <t>• 3. Income Statement</t>
  </si>
  <si>
    <t>• 4. Balance Sheet</t>
  </si>
  <si>
    <t>• 5. Prior-Year Tax Attributes</t>
  </si>
  <si>
    <t>• 6. CCA Continuity</t>
  </si>
  <si>
    <t>• 7. Associated Corporations</t>
  </si>
  <si>
    <t>• 8. Shareholders &amp; TOSI</t>
  </si>
  <si>
    <t>• 9. Payroll Register</t>
  </si>
  <si>
    <t>• 10. GST-HST</t>
  </si>
  <si>
    <t>• 11. Instalments &amp; Compliance</t>
  </si>
  <si>
    <t>• 12. Credits &amp; Incentives</t>
  </si>
  <si>
    <t>• 13. Special Items</t>
  </si>
  <si>
    <t>• Dashboard</t>
  </si>
  <si>
    <t>• Province Rate Reference</t>
  </si>
  <si>
    <t>IMPORTANT DISCLAIMER</t>
  </si>
  <si>
    <t>Tax rates, thresholds, and credit amounts shown (including the 'Province Rate Reference' tab) are illustrative approximations based on general knowledge and are NOT guaranteed current. Federal and provincial rates, the SBD threshold, GST/HST rates, and CPP/EI figures change annually (sometimes mid-year). VERIFY every rate against the current CRA and provincial government publications before relying on any output. This workbook is a planning and organizing tool only — it does not replace a filed tax return, a professional's sign-off, or advice on elections, reorganizations, or anything with GAAR (general anti-avoidance rule) exposure.</t>
  </si>
  <si>
    <t>DASHBOARD — Current Position &amp; Planning Summary</t>
  </si>
  <si>
    <t>Calculated from the completed intake for Northern Peak Consulting Inc., FY2025. ⚠ Uses illustrative rates from 'Province Rate Reference' — verify before relying on any figure. This is a planning aid, not a filed return.</t>
  </si>
  <si>
    <t>ENTITY SNAPSHOT</t>
  </si>
  <si>
    <t>Legal Name</t>
  </si>
  <si>
    <t>Province (drives rates below)</t>
  </si>
  <si>
    <t>Tax Year</t>
  </si>
  <si>
    <t>Associated with Other Corporations?</t>
  </si>
  <si>
    <t>RATES APPLIED (looked up from Province Rate Reference, based on province above)</t>
  </si>
  <si>
    <t>Combined Small Business Rate (Fed+Prov)</t>
  </si>
  <si>
    <t>Combined General Rate (Fed+Prov)</t>
  </si>
  <si>
    <t>Estimated Investment-Income Rate (Fed+Prov)</t>
  </si>
  <si>
    <t>Approximation: general rate + ~23.67pt federal add-on for the loss of the general rate reduction plus the refundable tax on investment income. Verify exact figure.</t>
  </si>
  <si>
    <t>1. SMALL BUSINESS DEDUCTION (SBD) — CURRENT POSITION</t>
  </si>
  <si>
    <t>Net Active Business Income (this entity)</t>
  </si>
  <si>
    <t>Aggregate Investment Income (this entity, current year — used as proxy for prior-year AAII test)</t>
  </si>
  <si>
    <t>Passive-Income Grind (reduction to $500K limit: 5 × (AAII − $50,000), capped)</t>
  </si>
  <si>
    <t>Group Taxable Capital Employed in Canada (from Associated Corporations tab)</t>
  </si>
  <si>
    <t>Taxable-Capital Grind (reduction: $500K × (Taxable Capital − $10M) / $40M, capped)</t>
  </si>
  <si>
    <t>Federal SBD Limit After Grinds (500,000 − greater of the two grinds)</t>
  </si>
  <si>
    <t>This Entity's SBD Limit (lesser of grind-adjusted limit and Schedule 23 allocation)</t>
  </si>
  <si>
    <t>If associated, pulls this entity's row from the Schedule 23 allocation table by name; if not associated, defaults to the full $500K (post-grind).</t>
  </si>
  <si>
    <t>Active Business Income Taxed at SBD Rate</t>
  </si>
  <si>
    <t>Active Business Income Taxed at General Rate (excess over SBD limit)</t>
  </si>
  <si>
    <t>⚠ Passive-Income Grind Flag</t>
  </si>
  <si>
    <t>2. CURRENT-YEAR CORPORATE TAX ESTIMATE (federal + provincial)</t>
  </si>
  <si>
    <t>Tax on SBD-Rate Income</t>
  </si>
  <si>
    <t>Tax on General-Rate Active Business Income</t>
  </si>
  <si>
    <t>Tax on Aggregate Investment Income</t>
  </si>
  <si>
    <t>ESTIMATED TOTAL CORPORATE TAX PAYABLE</t>
  </si>
  <si>
    <t>Less: Instalments Already Paid</t>
  </si>
  <si>
    <t>Balance Owing / (Refund) at Year-End</t>
  </si>
  <si>
    <t>Instalments Likely Required Next Year?</t>
  </si>
  <si>
    <t>3. RDTOH / GRIP / CDA — RECOVERABLE TAX POOLS</t>
  </si>
  <si>
    <t>Non-Eligible RDTOH Addition This Year (≈30⅔% of Aggregate Investment Income)</t>
  </si>
  <si>
    <t>Non-Eligible RDTOH — Opening Balance</t>
  </si>
  <si>
    <t>Non-Eligible RDTOH — Closing Balance (Opening + Addition)</t>
  </si>
  <si>
    <t>Eligible RDTOH — Opening/Closing Balance (carried forward)</t>
  </si>
  <si>
    <t>Non-Eligible Dividend Needed to Fully Recover Non-Eligible RDTOH (÷38⅓%)</t>
  </si>
  <si>
    <t>Eligible Dividend Needed to Fully Recover Eligible RDTOH (÷38⅓%)</t>
  </si>
  <si>
    <t>GRIP Balance Available (for lower-taxed ELIGIBLE dividends)</t>
  </si>
  <si>
    <t>CDA Balance Available (paid 100% TAX-FREE by election — T2054)</t>
  </si>
  <si>
    <t>⚠ Action Flag</t>
  </si>
  <si>
    <t>4. PAYROLL, GST/HST &amp; COMPLIANCE SUMMARY</t>
  </si>
  <si>
    <t>Total Salaries &amp; Wages Paid</t>
  </si>
  <si>
    <t>Employer EI Contribution (1.4x)</t>
  </si>
  <si>
    <t>GST/HST Net Tax Owing / (Refund)</t>
  </si>
  <si>
    <t>CCA Claimed This Year (reduces taxable income above — apply manually if not yet reflected)</t>
  </si>
  <si>
    <t>SR&amp;ED Investment Tax Credit Estimate</t>
  </si>
  <si>
    <t>Provincial Credit Estimate</t>
  </si>
  <si>
    <t>5. PLANNING FLAGS TO DISCUSS WITH YOUR ACCOUNTANT</t>
  </si>
  <si>
    <t>• Salary vs. dividend mix for each owner-manager should be modelled against personal marginal rates (see the separate Personal Tax module) — corporate tax alone does not determine the optimal mix.</t>
  </si>
  <si>
    <t>1. Entity Setup</t>
  </si>
  <si>
    <t>CORPORATE IDENTIFICATION</t>
  </si>
  <si>
    <t>Legal Name of Corporation</t>
  </si>
  <si>
    <t>Northern Peak Consulting Inc.</t>
  </si>
  <si>
    <t>CRA Business Number (BN)</t>
  </si>
  <si>
    <t>123456789</t>
  </si>
  <si>
    <t>Corporation Program Account (RC)</t>
  </si>
  <si>
    <t>RC0001</t>
  </si>
  <si>
    <t>Incorporation Date</t>
  </si>
  <si>
    <t>2016-04-01</t>
  </si>
  <si>
    <t>Industry / NAICS Code</t>
  </si>
  <si>
    <t>541611 - Management Consulting</t>
  </si>
  <si>
    <t>PROVINCE &amp; JURISDICTION (drives all rate lookups)</t>
  </si>
  <si>
    <t>Province/Territory of Incorporation</t>
  </si>
  <si>
    <t>Alberta</t>
  </si>
  <si>
    <t>Primary Province of Operation</t>
  </si>
  <si>
    <t>Used on Dashboard for primary rate lookup.</t>
  </si>
  <si>
    <t>Multiple Permanent Establishments in &gt;1 Province?</t>
  </si>
  <si>
    <t>Yes</t>
  </si>
  <si>
    <t>If Yes, complete '2. Provincial Allocation' tab (Schedule 5).</t>
  </si>
  <si>
    <t>FISCAL PERIOD</t>
  </si>
  <si>
    <t>Fiscal Year Start Date</t>
  </si>
  <si>
    <t>2025-01-01</t>
  </si>
  <si>
    <t>Fiscal Year End Date</t>
  </si>
  <si>
    <t>2025-12-31</t>
  </si>
  <si>
    <t>2025</t>
  </si>
  <si>
    <t>First Year of Operation?</t>
  </si>
  <si>
    <t>No</t>
  </si>
  <si>
    <t>Short/Stub Year? (prorates SBD limit &amp; instalment threshold)</t>
  </si>
  <si>
    <t>Wind-Up / Final Year?</t>
  </si>
  <si>
    <t>CCPC STATUS</t>
  </si>
  <si>
    <t>Canadian-Controlled Private Corporation Confirmed?</t>
  </si>
  <si>
    <t>Control test: &gt;50% of voting shares held by Canadian residents; not controlled by non-residents or a public corp.</t>
  </si>
  <si>
    <t>Any change of control this tax year?</t>
  </si>
  <si>
    <t>A change of control can end the fiscal year early and restrict loss carryforwards — flag for accountant.</t>
  </si>
  <si>
    <t>GROUP STRUCTURE</t>
  </si>
  <si>
    <t>Associated with Other Corporation(s)?</t>
  </si>
  <si>
    <t>If Yes, complete '7. Associated Corporations' tab — the $500K SBD limit is shared across the group.</t>
  </si>
  <si>
    <t>Number of Shareholders</t>
  </si>
  <si>
    <t>2. Provincial Income Allocation (Schedule 5) — only if operating in multiple provinces</t>
  </si>
  <si>
    <t>Complete only if '1. Entity Setup' answered Yes to multiple permanent establishments. Allocation % = average of (revenue in province ÷ total revenue) and (wages in province ÷ total wages). Total allocation must equal 100%.</t>
  </si>
  <si>
    <t>Province/Territory</t>
  </si>
  <si>
    <t>Gross Revenue Attributable ($)</t>
  </si>
  <si>
    <t>Salaries &amp; Wages Paid ($)</t>
  </si>
  <si>
    <t>% of Total Revenue</t>
  </si>
  <si>
    <t>% of Total Wages</t>
  </si>
  <si>
    <t>Allocation % (avg)</t>
  </si>
  <si>
    <t>Taxable Income Allocated ($)</t>
  </si>
  <si>
    <t>Notes</t>
  </si>
  <si>
    <t>Alberta (Head Office)</t>
  </si>
  <si>
    <t>e.g., head-office province</t>
  </si>
  <si>
    <t>Ontario (Branch Office)</t>
  </si>
  <si>
    <t>e.g., branch office</t>
  </si>
  <si>
    <t>TOTAL</t>
  </si>
  <si>
    <t>Should equal 100% if all PEs listed</t>
  </si>
  <si>
    <t>3. Income Statement — Current Fiscal Year</t>
  </si>
  <si>
    <t>Line Item</t>
  </si>
  <si>
    <t>Amount ($)</t>
  </si>
  <si>
    <t>Classification</t>
  </si>
  <si>
    <t>REVENUE</t>
  </si>
  <si>
    <t>Consulting Fees — Alberta Clients</t>
  </si>
  <si>
    <t>Consulting Fees — Ontario Clients</t>
  </si>
  <si>
    <t>Total Revenue</t>
  </si>
  <si>
    <t>COST OF GOODS SOLD</t>
  </si>
  <si>
    <t>Subcontractor / Direct Delivery Costs</t>
  </si>
  <si>
    <t>Total COGS</t>
  </si>
  <si>
    <t>Gross Profit</t>
  </si>
  <si>
    <t>OPERATING EXPENSES</t>
  </si>
  <si>
    <t>Salaries &amp; Wages (non-owner staff)</t>
  </si>
  <si>
    <t>Rent</t>
  </si>
  <si>
    <t>Professional Fees (Legal/Accounting)</t>
  </si>
  <si>
    <t>Meals &amp; Entertainment</t>
  </si>
  <si>
    <t>Only 50% is deductible for tax / eligible for ITC — see GST-HST tab.</t>
  </si>
  <si>
    <t>Motor Vehicle Expenses</t>
  </si>
  <si>
    <t>Insurance</t>
  </si>
  <si>
    <t>Amortization/Depreciation (book)</t>
  </si>
  <si>
    <t>Book amortization only — CCA claimed separately, see '6. CCA Continuity' tab.</t>
  </si>
  <si>
    <t>Office &amp; Administration</t>
  </si>
  <si>
    <t>Marketing &amp; Advertising</t>
  </si>
  <si>
    <t>Interest Expense</t>
  </si>
  <si>
    <t>Other Operating Expenses</t>
  </si>
  <si>
    <t>Total Operating Expenses</t>
  </si>
  <si>
    <t>Operating Income  (= Net Active Business Income)</t>
  </si>
  <si>
    <t>OTHER INCOME / (EXPENSE) — classify each line for SBD passive-income tracking</t>
  </si>
  <si>
    <t>Interest Income</t>
  </si>
  <si>
    <t>Aggregate Investment Income</t>
  </si>
  <si>
    <t>Dividends Received — Connected Corporation (Northern Peak Holdings Inc.)</t>
  </si>
  <si>
    <t>Active Business Income</t>
  </si>
  <si>
    <t>Dividends Received — Portfolio (Non-Connected)</t>
  </si>
  <si>
    <t>May trigger Part IV tax — see Dashboard.</t>
  </si>
  <si>
    <t>Taxable Capital Gains (net, 1/2 of realized gain)</t>
  </si>
  <si>
    <t>Other 1/2 credits the Capital Dividend Account — see '13. Special Items'.</t>
  </si>
  <si>
    <t>Net Rental Income</t>
  </si>
  <si>
    <t>Passive unless the corp meets the active-rental test (5+ full-time employees).</t>
  </si>
  <si>
    <t>Foreign Income (net of foreign tax)</t>
  </si>
  <si>
    <t>Foreign Income</t>
  </si>
  <si>
    <t>Total Other Income</t>
  </si>
  <si>
    <t>NET INCOME BEFORE TAX</t>
  </si>
  <si>
    <t>SUMMARY FOR TAX CLASSIFICATION (feeds Dashboard)</t>
  </si>
  <si>
    <t>Net Active Business Income (for SBD numerator)</t>
  </si>
  <si>
    <t>Aggregate Investment Income (for passive-income grind)</t>
  </si>
  <si>
    <t>Net Income Before Tax (total)</t>
  </si>
  <si>
    <t>HOLDCO / INVESTMENT DETAIL (optional) - fill this if the corporation received dividends or realized capital gains; it replaces the single AAII figure above</t>
  </si>
  <si>
    <t>Interest &amp; Net Passive Rental Income (Part I)</t>
  </si>
  <si>
    <t>Interest, net passive rents, other property income. Taxed under Part I at the investment-income rate.</t>
  </si>
  <si>
    <t>Taxable Capital Gains (taxable portion only)</t>
  </si>
  <si>
    <t>Enter the TAXABLE portion only (1/2 of the net gain). The other half credits the CDA automatically.</t>
  </si>
  <si>
    <t>Eligible Dividends Received - Portfolio</t>
  </si>
  <si>
    <t>From non-connected corporations (&lt;=10% votes/value). Part IV tax 38 1/3% -&gt; eligible RDTOH.</t>
  </si>
  <si>
    <t>Non-Eligible Dividends Received - Portfolio</t>
  </si>
  <si>
    <t>Part IV tax 38 1/3% -&gt; non-eligible RDTOH.</t>
  </si>
  <si>
    <t>Eligible Dividends Received - Connected Corporation</t>
  </si>
  <si>
    <t>From a connected corporation (&gt;10% votes AND value, or controlled). Adds to GRIP.</t>
  </si>
  <si>
    <t>Non-Eligible Dividends Received - Connected Corporation</t>
  </si>
  <si>
    <t>Not subject to Part IV except via the refund lines below.</t>
  </si>
  <si>
    <t>Part IV on Connected Dividends - from Payer's Eligible RDTOH Refund</t>
  </si>
  <si>
    <t>This corp's share of the PAYER's dividend refund from its eligible RDTOH (payer's Schedule 3).</t>
  </si>
  <si>
    <t>Part IV on Connected Dividends - from Payer's Non-Eligible RDTOH Refund</t>
  </si>
  <si>
    <t>This corp's share of the PAYER's dividend refund from its non-eligible RDTOH.</t>
  </si>
  <si>
    <t>Life Insurance Proceeds in Excess of ACB (CDA credit)</t>
  </si>
  <si>
    <t>Death benefit received in excess of the policy's adjusted cost basis.</t>
  </si>
  <si>
    <t>DIVIDENDS PAID THIS YEAR (optional)</t>
  </si>
  <si>
    <t>Eligible Dividends Paid</t>
  </si>
  <si>
    <t>Designated eligible. Over GRIP = Part III.1 tax unless the s.185.1(2) election is filed.</t>
  </si>
  <si>
    <t>Non-Eligible Dividends Paid</t>
  </si>
  <si>
    <t>Recovers non-eligible RDTOH first, then eligible RDTOH.</t>
  </si>
  <si>
    <t>Capital Dividends Paid (s.83(2) election)</t>
  </si>
  <si>
    <t>Over CDA = 60% Part III tax unless the s.184(3) election is filed.</t>
  </si>
  <si>
    <t>4. Balance Sheet — As at Fiscal Year-End</t>
  </si>
  <si>
    <t>ASSETS</t>
  </si>
  <si>
    <t>Cash &amp; Cash Equivalents</t>
  </si>
  <si>
    <t>Accounts Receivable</t>
  </si>
  <si>
    <t>Inventory</t>
  </si>
  <si>
    <t>Prepaid Expenses</t>
  </si>
  <si>
    <t>Portfolio Investments (marketable securities)</t>
  </si>
  <si>
    <t>Generates the interest/dividend/capital-gain income on the Income Statement tab.</t>
  </si>
  <si>
    <t>Capital Assets, Net of Accumulated Amortization</t>
  </si>
  <si>
    <t>Ties to closing UCC on '6. CCA Continuity' (book vs. tax basis will differ).</t>
  </si>
  <si>
    <t>Shares of Connected Corporation (Northern Peak Holdings Inc.)</t>
  </si>
  <si>
    <t>See '7. Associated Corporations'.</t>
  </si>
  <si>
    <t>Cash Surrender Value — Life Insurance</t>
  </si>
  <si>
    <t>See '13. Special Items'.</t>
  </si>
  <si>
    <t>Total Assets</t>
  </si>
  <si>
    <t>LIABILITIES</t>
  </si>
  <si>
    <t>Accounts Payable &amp; Accrued Liabilities</t>
  </si>
  <si>
    <t>GST/HST Payable</t>
  </si>
  <si>
    <t>Ties to '10. GST-HST' tab.</t>
  </si>
  <si>
    <t>Shareholder Loans Payable (corp owes shareholder)</t>
  </si>
  <si>
    <t>Shareholder Loans Receivable (shareholder owes corp)</t>
  </si>
  <si>
    <t>s.15(2) — if not repaid within 1 year after year-end, taxable to shareholder. See '8. Shareholders &amp; TOSI'.</t>
  </si>
  <si>
    <t>Current Portion of Long-Term Debt</t>
  </si>
  <si>
    <t>Long-Term Debt</t>
  </si>
  <si>
    <t>Deferred Revenue</t>
  </si>
  <si>
    <t>Total Liabilities</t>
  </si>
  <si>
    <t>SHAREHOLDERS' EQUITY</t>
  </si>
  <si>
    <t>Common Share Capital</t>
  </si>
  <si>
    <t>Preferred Share Capital (Class C — Estate Freeze)</t>
  </si>
  <si>
    <t>Retained Earnings — Opening</t>
  </si>
  <si>
    <t>Net Income for the Year (linked from Income Statement)</t>
  </si>
  <si>
    <t>Total Shareholders' Equity</t>
  </si>
  <si>
    <t>Total Liabilities + Equity (should equal Total Assets)</t>
  </si>
  <si>
    <t>Balance Check (should be $0)</t>
  </si>
  <si>
    <t>TAXABLE CAPITAL EMPLOYED IN CANADA (for SR&amp;ED limit &amp; large-CCPC SBD/passive grind)</t>
  </si>
  <si>
    <t>Taxable Capital = Total Assets + certain reserves/loans − certain investments (simplified)</t>
  </si>
  <si>
    <t>Grinds SBD limit and the SR&amp;ED expenditure limit once the GROUP's taxable capital exceeds $10M (fully eliminated at $50M). Aggregate with associated corps on '7. Associated Corporations'.</t>
  </si>
  <si>
    <t>Estimated Taxable Capital Employed in Canada (this entity)</t>
  </si>
  <si>
    <t>Simplified proxy = Total Assets. Confirm exact calculation with accountant (Part I.3-style definition retained federally for this test).</t>
  </si>
  <si>
    <t>5. Prior-Year Tax Attribute Balances (Opening, from prior T2 Schedules)</t>
  </si>
  <si>
    <t>⚠ These balances do NOT reset annually and are the most common source of missed tax recovery. If unknown, enter 0 and flag for your accountant to confirm from the prior-year T2 Schedules 3, 7, and 53 — never guess.</t>
  </si>
  <si>
    <t>REFUNDABLE DIVIDEND TAX ON HAND (RDTOH) — Schedule 3</t>
  </si>
  <si>
    <t>Eligible RDTOH — Opening Balance</t>
  </si>
  <si>
    <t>From eligible portfolio dividends received; refunded at 38⅓% of eligible dividends paid out.</t>
  </si>
  <si>
    <t>From Part I tax on investment income + Part IV tax; refunded at 38⅓% of non-eligible dividends paid out.</t>
  </si>
  <si>
    <t>GENERAL RATE INCOME POOL (GRIP) — Schedule 53</t>
  </si>
  <si>
    <t>GRIP — Opening Balance</t>
  </si>
  <si>
    <t>Capacity to pay lower-taxed ELIGIBLE dividends (from income taxed at the general corporate rate).</t>
  </si>
  <si>
    <t>CAPITAL DIVIDEND ACCOUNT (CDA)</t>
  </si>
  <si>
    <t>CDA — Opening Balance</t>
  </si>
  <si>
    <t>Non-taxable 1/2 of realized capital gains + life insurance proceeds in excess of ACB; paid out 100% tax-free by election (T2054).</t>
  </si>
  <si>
    <t>NON-CAPITAL LOSS CARRYFORWARDS (20-year carryforward)</t>
  </si>
  <si>
    <t>Year of Origin</t>
  </si>
  <si>
    <t>Expiry Year</t>
  </si>
  <si>
    <t>NET CAPITAL LOSS CARRYFORWARDS (indefinite — usable only vs. capital gains)</t>
  </si>
  <si>
    <t>OTHER CARRYFORWARDS</t>
  </si>
  <si>
    <t>Unused SR&amp;ED Investment Tax Credit Carryforward</t>
  </si>
  <si>
    <t>20-year carryforward, or refundable if CCPC and under expenditure limit — see '12. Credits &amp; Incentives'.</t>
  </si>
  <si>
    <t>Unused Foreign Tax Credit Carryforward</t>
  </si>
  <si>
    <t>Prior-Year Adjusted Aggregate Investment Income (for SBD grind)</t>
  </si>
  <si>
    <t>Leave BLANK if unknown - the agent then uses the current year as a proxy and flags it. The SBD grind legally uses the prior year's figure.</t>
  </si>
  <si>
    <t>6. Capital Cost Allowance (CCA) Continuity Schedule</t>
  </si>
  <si>
    <t>CCA Class</t>
  </si>
  <si>
    <t>Opening UCC ($)</t>
  </si>
  <si>
    <t>Additions ($)</t>
  </si>
  <si>
    <t>Immediate Expensing / AIIP?</t>
  </si>
  <si>
    <t>Disposals — Proceeds ($)</t>
  </si>
  <si>
    <t>Adjusted UCC Base ($)</t>
  </si>
  <si>
    <t>CCA Rate</t>
  </si>
  <si>
    <t>CCA Claimed ($)</t>
  </si>
  <si>
    <t>Closing UCC ($)</t>
  </si>
  <si>
    <t>Class 1 - Buildings (4%)</t>
  </si>
  <si>
    <t>Half-year rule N/A — building already in service.</t>
  </si>
  <si>
    <t>Class 8 - Furniture &amp; Equipment (20%)</t>
  </si>
  <si>
    <t>Half-year rule applies to additions.</t>
  </si>
  <si>
    <t>Class 10 - Vehicles (30%)</t>
  </si>
  <si>
    <t>Class 50 - Computer Equipment (55%)</t>
  </si>
  <si>
    <t>CCPC immediate expensing — up to $1.5M/yr shared across associated group.</t>
  </si>
  <si>
    <t>Class 14.1 - Goodwill/Intangibles (5%)</t>
  </si>
  <si>
    <t>Post-2016 pool; no half-year rule.</t>
  </si>
  <si>
    <t>Notes: Half-year rule (50% of net additions) is approximated above — the 2024+ Accelerated Investment Incentive Property (AIIP) rules and immediate expensing (CCPC-specific, up to $1.5M/year shared across the associated group) can override the half-year rule; mark 'Yes' in the Immediate Expensing/AIIP column where applicable. Class 10.1 (luxury vehicles) and Class 13 (leaseholds) have additional restrictions not modelled in this simplified continuity — confirm treatment with your accountant. Dispositions with proceeds exceeding UCC may trigger recapture (income) or, if a class empties with a remaining balance, a terminal loss.</t>
  </si>
  <si>
    <t>7. Associated Corporations &amp; SBD Allocation (Schedule 23)</t>
  </si>
  <si>
    <t>The $500,000 federal Small Business Deduction limit (and each province's own SBD threshold) is SHARED across all associated corporations (control test, s.256) — the group must file an agreement (Schedule 23) allocating it. 'Connected' (ownership test, s.186(4)) is a DIFFERENT test that governs intercorporate dividend/Part IV tax treatment, not SBD sharing.</t>
  </si>
  <si>
    <t>Corporation Name</t>
  </si>
  <si>
    <t>Relationship</t>
  </si>
  <si>
    <t>Ownership %</t>
  </si>
  <si>
    <t>Active Business Income ($)</t>
  </si>
  <si>
    <t>Taxable Capital Employed ($)</t>
  </si>
  <si>
    <t>SBD Limit Allocated ($)</t>
  </si>
  <si>
    <t>Northern Peak Consulting Inc. (this entity)</t>
  </si>
  <si>
    <t>Self/Principal</t>
  </si>
  <si>
    <t>Allocated 70% of the $500K limit per Schedule 23 agreement.</t>
  </si>
  <si>
    <t>Northern Peak Holdings Inc.</t>
  </si>
  <si>
    <t>Sister/Affiliate (Common Ownership)</t>
  </si>
  <si>
    <t>Holds portfolio investments &amp; pays dividends up to Consulting Inc. — allocated 30% of the $500K limit.</t>
  </si>
  <si>
    <t>Check: Total SBD Allocated should equal $500,000</t>
  </si>
  <si>
    <t>Schedule 23 SBD Allocation Agreement Filed?</t>
  </si>
  <si>
    <t>8. Shareholders, Cap Table &amp; TOSI (Tax on Split Income) Risk</t>
  </si>
  <si>
    <t>Shareholder Name</t>
  </si>
  <si>
    <t>Relationship to Principal</t>
  </si>
  <si>
    <t>Share Class</t>
  </si>
  <si>
    <t>Ownership % (Votes)</t>
  </si>
  <si>
    <t>Ownership % (Equity)</t>
  </si>
  <si>
    <t>Age</t>
  </si>
  <si>
    <t>Actively Engaged? (hrs/wk)</t>
  </si>
  <si>
    <t>Years Active in Business</t>
  </si>
  <si>
    <t>TOSI Status</t>
  </si>
  <si>
    <t>Other Personal Income ($)</t>
  </si>
  <si>
    <t>Amara Okafor</t>
  </si>
  <si>
    <t>Common</t>
  </si>
  <si>
    <t>Excluded - Age 25+, Meaningfully Contributes</t>
  </si>
  <si>
    <t>Principal, full-time operator.</t>
  </si>
  <si>
    <t>Daniel Okafor</t>
  </si>
  <si>
    <t>Spouse/Common-Law Partner</t>
  </si>
  <si>
    <t>Class A</t>
  </si>
  <si>
    <t>Not Excluded - TOSI Risk</t>
  </si>
  <si>
    <t>Works part-time in the business — under 20 hrs/wk average; TOSI risk on any dividend paid to this shareholder.</t>
  </si>
  <si>
    <t>Northern Peak Family Trust</t>
  </si>
  <si>
    <t>Family Trust</t>
  </si>
  <si>
    <t>Class B</t>
  </si>
  <si>
    <t>Pending Review by Accountant</t>
  </si>
  <si>
    <t>Holds shares for adult child (age 22) — confirm excluded-shareholder test before any dividend.</t>
  </si>
  <si>
    <t>Note: Votes % need not total 100% if any class is non-voting (e.g., the Family Trust's Class B shares carry no votes here).</t>
  </si>
  <si>
    <t>SHAREHOLDER LOANS (s.15(2) — taxable if not repaid within 1 year after corp year-end)</t>
  </si>
  <si>
    <t>Loan Balance ($)</t>
  </si>
  <si>
    <t>Date Advanced</t>
  </si>
  <si>
    <t>Bona Fide Repayment Terms?</t>
  </si>
  <si>
    <t>Within 1-Year Repayment Rule?</t>
  </si>
  <si>
    <t>2025-06-15</t>
  </si>
  <si>
    <t>Yes - due 2026-12-31 fiscal year-end + 1 yr</t>
  </si>
  <si>
    <t>9. Payroll Register</t>
  </si>
  <si>
    <t>Employee/Owner Name</t>
  </si>
  <si>
    <t>Role</t>
  </si>
  <si>
    <t>Annual Salary/Wages ($)</t>
  </si>
  <si>
    <t>CPP Withheld ($)</t>
  </si>
  <si>
    <t>CPP2 Withheld ($)</t>
  </si>
  <si>
    <t>EI Withheld ($)</t>
  </si>
  <si>
    <t>Income Tax Withheld ($)</t>
  </si>
  <si>
    <t>Taxable Benefits ($)</t>
  </si>
  <si>
    <t>Province of Work</t>
  </si>
  <si>
    <t>Remittance Frequency</t>
  </si>
  <si>
    <t>Owner-Manager</t>
  </si>
  <si>
    <t>Regular (Monthly)</t>
  </si>
  <si>
    <t>Priya Nair</t>
  </si>
  <si>
    <t>Senior Consultant</t>
  </si>
  <si>
    <t>Jordan Lee</t>
  </si>
  <si>
    <t>Consultant</t>
  </si>
  <si>
    <t>Sarah Bianchi</t>
  </si>
  <si>
    <t>Junior Consultant</t>
  </si>
  <si>
    <t>Marc Tremblay</t>
  </si>
  <si>
    <t>Consultant (Ontario Office)</t>
  </si>
  <si>
    <t>Ontario</t>
  </si>
  <si>
    <t>Chloe Martin</t>
  </si>
  <si>
    <t>EMPLOYER PORTIONS &amp; WCB</t>
  </si>
  <si>
    <t>Employer CPP Contribution (matches employee CPP, ~1x)</t>
  </si>
  <si>
    <t>Employer CPP2 Contribution (matches employee CPP2, 1x)</t>
  </si>
  <si>
    <t>Employer EI Contribution (1.4x employee EI)</t>
  </si>
  <si>
    <t>WCB Assessable Payroll</t>
  </si>
  <si>
    <t>WCB Premium Rate (per $100 of assessable payroll)</t>
  </si>
  <si>
    <t>Province- and industry-classification-specific — confirm current rate with the provincial WCB/WSIB board.</t>
  </si>
  <si>
    <t>Estimated WCB Premium</t>
  </si>
  <si>
    <t>Notes: CPP2 applies above the base Year's Maximum Pensionable Earnings up to the Additional Maximum — figures shown are illustrative and change annually. Remittance frequency (Regular/Quarterly/Accelerated) is assigned by CRA based on average monthly withholding amounts (AMWA) two years prior — confirm current classification. Employees working from a different province than head office may require separate provincial payroll deductions and WCB registration in that province.</t>
  </si>
  <si>
    <t>10. GST/HST</t>
  </si>
  <si>
    <t>REGISTRATION</t>
  </si>
  <si>
    <t>GST/HST Registered?</t>
  </si>
  <si>
    <t>Registration Effective Date</t>
  </si>
  <si>
    <t>Filing Frequency</t>
  </si>
  <si>
    <t>Quarterly</t>
  </si>
  <si>
    <t>Operating in Quebec? (QST applies separately, filed with Revenu Québec)</t>
  </si>
  <si>
    <t>SUPPLIES</t>
  </si>
  <si>
    <t>Taxable Supplies (revenue subject to GST/HST)</t>
  </si>
  <si>
    <t>Zero-Rated Supplies (e.g., exports, basic groceries)</t>
  </si>
  <si>
    <t>0</t>
  </si>
  <si>
    <t>Exempt Supplies (e.g., certain financial/health/education services)</t>
  </si>
  <si>
    <t>GST/HST COLLECTED</t>
  </si>
  <si>
    <t>Province/Territory Rate Applied (auto from Entity Setup province)</t>
  </si>
  <si>
    <t>GST/HST Collected on Taxable Supplies</t>
  </si>
  <si>
    <t>INPUT TAX CREDITS (ITCs)</t>
  </si>
  <si>
    <t>General Operating Expense ITCs (100% eligible portion)</t>
  </si>
  <si>
    <t>Meals &amp; Entertainment ITCs (50% restricted)</t>
  </si>
  <si>
    <t>Only 50% of meals/entertainment GST/HST paid is claimable — linked at 50% of the Income Statement line.</t>
  </si>
  <si>
    <t>Passenger Vehicle ITCs (capped at prescribed amount)</t>
  </si>
  <si>
    <t>ITC capped based on the CCA passenger-vehicle cost limit — confirm current prescribed amount.</t>
  </si>
  <si>
    <t>Capital Asset Purchase ITCs</t>
  </si>
  <si>
    <t>Total ITCs</t>
  </si>
  <si>
    <t>NET TAX &amp; INSTALMENTS</t>
  </si>
  <si>
    <t>Net Tax (GST/HST Owing / (Refund))</t>
  </si>
  <si>
    <t>GST/HST Instalments Required? (net tax &gt; $3,000 threshold, similar mechanism to income tax)</t>
  </si>
  <si>
    <t>11. Instalments &amp; Compliance History</t>
  </si>
  <si>
    <t>INCOME TAX INSTALMENT THRESHOLD TEST</t>
  </si>
  <si>
    <t>Instalments are required if combined federal+provincial tax payable exceeded $3,000 in BOTH the current year estimate and either of the prior two years.</t>
  </si>
  <si>
    <t>Prior Year (Year -1) Tax Payable — Federal ($)</t>
  </si>
  <si>
    <t>Prior Year (Year -1) Tax Payable — Provincial ($)</t>
  </si>
  <si>
    <t>Prior Year (Year -2) Tax Payable — Federal ($)</t>
  </si>
  <si>
    <t>Prior Year (Year -2) Tax Payable — Provincial ($)</t>
  </si>
  <si>
    <t>Instalments Required? (based on prior 2 years, before current-year estimate)</t>
  </si>
  <si>
    <t>INSTALMENTS PAID THIS YEAR</t>
  </si>
  <si>
    <t>Date Paid</t>
  </si>
  <si>
    <t>Type (Federal/Provincial/GST)</t>
  </si>
  <si>
    <t>2025-03-31</t>
  </si>
  <si>
    <t>Federal</t>
  </si>
  <si>
    <t>2025-06-30</t>
  </si>
  <si>
    <t>2025-09-30</t>
  </si>
  <si>
    <t>Total Instalments Paid</t>
  </si>
  <si>
    <t>EXISTING CRA/PROVINCIAL BALANCES</t>
  </si>
  <si>
    <t>Balance Owing (Prior Assessments)</t>
  </si>
  <si>
    <t>Penalties Assessed</t>
  </si>
  <si>
    <t>Interest Assessed (non-deductible for tax purposes)</t>
  </si>
  <si>
    <t>GST/HST Remittance Standing</t>
  </si>
  <si>
    <t>'Yes' = in good standing / up to date.</t>
  </si>
  <si>
    <t>Payroll Remittance Standing</t>
  </si>
  <si>
    <t>12. Credits &amp; Incentives</t>
  </si>
  <si>
    <t>SR&amp;ED (SCIENTIFIC RESEARCH &amp; EXPERIMENTAL DEVELOPMENT)</t>
  </si>
  <si>
    <t>SR&amp;ED-Eligible Expenditures (current year, $)</t>
  </si>
  <si>
    <t>SR&amp;ED Expenditure Limit — Base ($3M federal cap)</t>
  </si>
  <si>
    <t>Expenditure Limit Grind — starts reducing once prior-year taxable income exceeds ~$500K, fully eliminated ~$800K; also reduced once group taxable capital exceeds $10M (eliminated at $50M).</t>
  </si>
  <si>
    <t>Prior-Year Taxable Income (this entity + associated group)</t>
  </si>
  <si>
    <t>Enhanced 35% Refundable Rate Applies? (CCPC, under expenditure limit)</t>
  </si>
  <si>
    <t>Estimated SR&amp;ED Investment Tax Credit</t>
  </si>
  <si>
    <t>PROVINCIAL CREDITS (varies by province selected on Entity Setup)</t>
  </si>
  <si>
    <t>Examples: Alberta Innovation Employment Grant (up to 20% of qualifying R&amp;D spend above base), Ontario Innovation Tax Credit, BC SR&amp;ED credit, Quebec provincial R&amp;D credits, Manitoba R&amp;D Tax Credit.</t>
  </si>
  <si>
    <t>Provincial Credit Program Name</t>
  </si>
  <si>
    <t>Alberta Innovation Employment Grant</t>
  </si>
  <si>
    <t>Provincial Credit Amount ($)</t>
  </si>
  <si>
    <t>CHARITABLE DONATIONS</t>
  </si>
  <si>
    <t>Year</t>
  </si>
  <si>
    <t>Donation Amount ($)</t>
  </si>
  <si>
    <t>5-Year Expiry</t>
  </si>
  <si>
    <t>Corporate donations deduct against taxable income (not a credit) — 5-year carryforward if unused.</t>
  </si>
  <si>
    <t>13. Special Items</t>
  </si>
  <si>
    <t>CORPORATELY OWNED LIFE INSURANCE</t>
  </si>
  <si>
    <t>Policy Owner</t>
  </si>
  <si>
    <t>Life Insured</t>
  </si>
  <si>
    <t>Face Amount ($)</t>
  </si>
  <si>
    <t>Cash Surrender Value ($)</t>
  </si>
  <si>
    <t>Adjusted Cost Basis ($)</t>
  </si>
  <si>
    <t>Annual Premium ($)</t>
  </si>
  <si>
    <t>Beneficiary</t>
  </si>
  <si>
    <t>Corporation</t>
  </si>
  <si>
    <t>CDA credit on death = death benefit − ACB. Premiums are generally non-deductible for tax.</t>
  </si>
  <si>
    <t>FOREIGN INCOME / FOREIGN AFFILIATES</t>
  </si>
  <si>
    <t>Country</t>
  </si>
  <si>
    <t>Type of Income</t>
  </si>
  <si>
    <t>Foreign Tax Paid ($)</t>
  </si>
  <si>
    <t>None</t>
  </si>
  <si>
    <t>N/A</t>
  </si>
  <si>
    <t>If present, FAPI (Foreign Accrual Property Income) rules may apply — materially more complex regime, requires professional review.</t>
  </si>
  <si>
    <t>PLANNED OR RECENT CORPORATE REORGANIZATION</t>
  </si>
  <si>
    <t>Share exchange, amalgamation, wind-up, estate freeze, or butterfly — these require professional sign-off regardless of this workbook's output.</t>
  </si>
  <si>
    <t>No reorganization planned or completed in the current fiscal year. Management is monitoring the passive-income grind on the Small Business Deduction and may consider an estate freeze or holding-company restructuring in a future year if investment income continues to grow — to be discussed with the corporation's accountant.</t>
  </si>
  <si>
    <t>Province / Territory Rate Reference</t>
  </si>
  <si>
    <t>⚠ ILLUSTRATIVE APPROXIMATIONS ONLY — verify every figure against current CRA and provincial published rates before use. Rates shown reflect general knowledge and may not reflect the current tax year.</t>
  </si>
  <si>
    <t>General Corp Rate (Fed+Prov)</t>
  </si>
  <si>
    <t>Small Business Rate (Fed+Prov)</t>
  </si>
  <si>
    <t>Provincial SBD Threshold</t>
  </si>
  <si>
    <t>GST/HST Type</t>
  </si>
  <si>
    <t>GST/HST Rate</t>
  </si>
  <si>
    <t>GST only</t>
  </si>
  <si>
    <t>AB has its own AT1 return — not fully CRA-administered.</t>
  </si>
  <si>
    <t>British Columbia</t>
  </si>
  <si>
    <t>GST only (+PST 7% separate)</t>
  </si>
  <si>
    <t>PST is separate provincial sales tax, not part of GST/HST.</t>
  </si>
  <si>
    <t>Saskatchewan</t>
  </si>
  <si>
    <t>GST only (+PST 6% separate)</t>
  </si>
  <si>
    <t>PST separate provincial sales tax.</t>
  </si>
  <si>
    <t>Manitoba</t>
  </si>
  <si>
    <t>GST only (+RST 7% separate)</t>
  </si>
  <si>
    <t>RST separate; Manitoba small business rate historically 0%.</t>
  </si>
  <si>
    <t>HST</t>
  </si>
  <si>
    <t>Ontario corporate return CRA-administered (harmonized).</t>
  </si>
  <si>
    <t>Quebec</t>
  </si>
  <si>
    <t>GST + QST (separate)</t>
  </si>
  <si>
    <t>QST administered by Revenu Québec, NOT CRA — separate filing.</t>
  </si>
  <si>
    <t>New Brunswick</t>
  </si>
  <si>
    <t>Nova Scotia</t>
  </si>
  <si>
    <t>NS reduced HST rate — confirm effective date/rate before use.</t>
  </si>
  <si>
    <t>Prince Edward Island</t>
  </si>
  <si>
    <t>Provincial SBD threshold raised to $500K in recent years — confirm.</t>
  </si>
  <si>
    <t>Newfoundland and Labrador</t>
  </si>
  <si>
    <t>Yukon</t>
  </si>
  <si>
    <t>Territorial small business rate historically 0%.</t>
  </si>
  <si>
    <t>Northwest Territories</t>
  </si>
  <si>
    <t>Nunavut</t>
  </si>
  <si>
    <t>Federal rates embedded above: general federal rate 15% (after abatement/general rate reduction); federal small business rate 9% on the first $500,000 of active business income (subject to the passive-income and taxable-capital grinds — see Dashboard). CPP/EI figures live on the Payroll Register tab and change annually.</t>
  </si>
  <si>
    <t>YesNo</t>
  </si>
  <si>
    <t>GST/HST Filing Frequency</t>
  </si>
  <si>
    <t>Corp Relationship</t>
  </si>
  <si>
    <t>Income Classification</t>
  </si>
  <si>
    <t>Dividend Type</t>
  </si>
  <si>
    <t>Monthly</t>
  </si>
  <si>
    <t>Parent</t>
  </si>
  <si>
    <t>Eligible Dividend</t>
  </si>
  <si>
    <t>Quarterly (New Small Employer)</t>
  </si>
  <si>
    <t>Excluded - Actively Engaged 20hrs/wk (5-yr test)</t>
  </si>
  <si>
    <t>Subsidiary</t>
  </si>
  <si>
    <t>Non-Eligible (Ordinary) Dividend</t>
  </si>
  <si>
    <t>Pending</t>
  </si>
  <si>
    <t>Accelerated Threshold 1</t>
  </si>
  <si>
    <t>Annually</t>
  </si>
  <si>
    <t>Excluded - Age 18-24, Arm's-Length Capital Only</t>
  </si>
  <si>
    <t>Child (Adult)</t>
  </si>
  <si>
    <t>Capital Dividend (CDA)</t>
  </si>
  <si>
    <t>Class 10.1 - Luxury Vehicles (30%)</t>
  </si>
  <si>
    <t>Accelerated Threshold 2</t>
  </si>
  <si>
    <t>Excluded - Inherited Property</t>
  </si>
  <si>
    <t>Child (Minor)</t>
  </si>
  <si>
    <t>Class C - Preferred (Estate Freeze)</t>
  </si>
  <si>
    <t>Same Shareholder Group</t>
  </si>
  <si>
    <t>Exempt/Other</t>
  </si>
  <si>
    <t>Class 12 - Tools/Software (100%)</t>
  </si>
  <si>
    <t>Other Preferred</t>
  </si>
  <si>
    <t>Class 13 - Leasehold Improvements</t>
  </si>
  <si>
    <t>Sibling</t>
  </si>
  <si>
    <t>Arm's Length</t>
  </si>
  <si>
    <t>Class 53 - Manufacturing Equipment (30%)</t>
  </si>
  <si>
    <t>Other</t>
  </si>
  <si>
    <t>Connected (sister corp under common control, s.186(4)): deductible under s.112, NOT active business income. Part IV = this corp's share of the payer's dividend refund - enter it in the holdco section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</si>
</sst>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
    <numFmt numFmtId="166" formatCode="\$#,##0;&quot;($&quot;#,##0\)"/>
    <numFmt numFmtId="167" formatCode="\$#,##0;&quot;($&quot;#,##0\);\-"/>
    <numFmt numFmtId="168" formatCode="[$$-409]#,##0.00;[Red]\-[$$-409]#,##0.00"/>
    <numFmt numFmtId="169" formatCode="0.000%"/>
  </numFmts>
  <fonts count="10" x14ac:knownFonts="1">
    <font>
      <sz val="11"/>
      <color theme="1"/>
      <name val="Calibri"/>
      <family val="2"/>
      <charset val="1"/>
    </font>
    <font>
      <b/>
      <sz val="16"/>
      <color rgb="FFFFFFFF"/>
      <name val="Arial"/>
      <charset val="1"/>
    </font>
    <font>
      <i/>
      <sz val="9"/>
      <color rgb="FF808080"/>
      <name val="Arial"/>
      <charset val="1"/>
    </font>
    <font>
      <b/>
      <sz val="11"/>
      <color rgb="FFFFFFFF"/>
      <name val="Arial"/>
      <charset val="1"/>
    </font>
    <font>
      <sz val="10"/>
      <color rgb="FF000000"/>
      <name val="Arial"/>
      <charset val="1"/>
    </font>
    <font>
      <b/>
      <sz val="10"/>
      <color rgb="FF000000"/>
      <name val="Arial"/>
      <charset val="1"/>
    </font>
    <font>
      <sz val="10"/>
      <color rgb="FF0000FF"/>
      <name val="Arial"/>
      <charset val="1"/>
    </font>
    <font>
      <sz val="10"/>
      <color rgb="FF375623"/>
      <name val="Arial"/>
      <charset val="1"/>
    </font>
    <font>
      <i/>
      <sz val="9"/>
      <color rgb="FFC00000"/>
      <name val="Arial"/>
      <charset val="1"/>
    </font>
    <font>
      <b/>
      <sz val="11"/>
      <name val="Arial"/>
      <charset val="1"/>
    </font>
  </fonts>
  <fills count="7">
    <fill>
      <patternFill patternType="none"/>
    </fill>
    <fill>
      <patternFill patternType="gray125"/>
    </fill>
    <fill>
      <patternFill patternType="solid">
        <fgColor rgb="FF1F3864"/>
        <bgColor rgb="FF333399"/>
      </patternFill>
    </fill>
    <fill>
      <patternFill patternType="solid">
        <fgColor rgb="FF4472C4"/>
        <bgColor rgb="FF666699"/>
      </patternFill>
    </fill>
    <fill>
      <patternFill patternType="solid">
        <fgColor rgb="FFD9E2F3"/>
        <bgColor rgb="FFCCFFFF"/>
      </patternFill>
    </fill>
    <fill>
      <patternFill patternType="solid">
        <fgColor rgb="FFFFFF99"/>
        <bgColor rgb="FFFFFFCC"/>
      </patternFill>
    </fill>
    <fill>
      <patternFill patternType="solid">
        <fgColor rgb="FFFFFFFF"/>
        <bgColor rgb="FFFFFFCC"/>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81">
    <xf numFmtId="0" fontId="0" fillId="0" borderId="0" xfId="0"/>
    <xf numFmtId="0" fontId="2" fillId="0" borderId="0" xfId="0" applyFont="1"/>
    <xf numFmtId="0" fontId="5" fillId="4" borderId="1" xfId="0" applyFont="1" applyFill="1" applyBorder="1" applyAlignment="1">
      <alignment horizontal="center" vertical="center" wrapText="1"/>
    </xf>
    <xf numFmtId="0" fontId="6" fillId="0" borderId="0" xfId="0" applyFont="1"/>
    <xf numFmtId="0" fontId="4" fillId="0" borderId="0" xfId="0" applyFont="1"/>
    <xf numFmtId="0" fontId="7" fillId="0" borderId="0" xfId="0" applyFont="1"/>
    <xf numFmtId="0" fontId="8" fillId="0" borderId="0" xfId="0" applyFont="1"/>
    <xf numFmtId="0" fontId="3" fillId="3" borderId="2" xfId="0" applyFont="1" applyFill="1" applyBorder="1" applyAlignment="1">
      <alignment horizontal="left" vertical="center" indent="1"/>
    </xf>
    <xf numFmtId="0" fontId="4" fillId="0" borderId="1" xfId="0" applyFont="1" applyBorder="1"/>
    <xf numFmtId="0" fontId="7" fillId="0" borderId="1" xfId="0" applyFont="1" applyBorder="1"/>
    <xf numFmtId="0" fontId="0" fillId="0" borderId="1" xfId="0" applyBorder="1"/>
    <xf numFmtId="164" fontId="4" fillId="0" borderId="1" xfId="0" applyNumberFormat="1" applyFont="1" applyBorder="1"/>
    <xf numFmtId="0" fontId="2" fillId="0" borderId="0" xfId="0" applyFont="1" applyAlignment="1">
      <alignment vertical="top" wrapText="1"/>
    </xf>
    <xf numFmtId="165" fontId="7" fillId="0" borderId="1" xfId="0" applyNumberFormat="1" applyFont="1" applyBorder="1"/>
    <xf numFmtId="0" fontId="4" fillId="0" borderId="1" xfId="0" applyFont="1" applyBorder="1" applyAlignment="1">
      <alignment vertical="top" wrapText="1"/>
    </xf>
    <xf numFmtId="165" fontId="4" fillId="0" borderId="1" xfId="0" applyNumberFormat="1" applyFont="1" applyBorder="1"/>
    <xf numFmtId="0" fontId="5" fillId="0" borderId="1" xfId="0" applyFont="1" applyBorder="1"/>
    <xf numFmtId="0" fontId="9" fillId="4" borderId="1" xfId="0" applyFont="1" applyFill="1" applyBorder="1"/>
    <xf numFmtId="165" fontId="9" fillId="4" borderId="1" xfId="0" applyNumberFormat="1" applyFont="1" applyFill="1" applyBorder="1"/>
    <xf numFmtId="0" fontId="0" fillId="4" borderId="1" xfId="0" applyFill="1" applyBorder="1"/>
    <xf numFmtId="166" fontId="4" fillId="0" borderId="1" xfId="0" applyNumberFormat="1" applyFont="1" applyBorder="1"/>
    <xf numFmtId="0" fontId="8" fillId="0" borderId="1" xfId="0" applyFont="1" applyBorder="1"/>
    <xf numFmtId="166" fontId="7" fillId="0" borderId="1" xfId="0" applyNumberFormat="1" applyFont="1" applyBorder="1"/>
    <xf numFmtId="0" fontId="6" fillId="5" borderId="1" xfId="0" applyFont="1" applyFill="1" applyBorder="1"/>
    <xf numFmtId="0" fontId="6" fillId="0" borderId="1" xfId="0" applyFont="1" applyBorder="1" applyAlignment="1">
      <alignment horizontal="center"/>
    </xf>
    <xf numFmtId="165" fontId="6" fillId="0" borderId="1" xfId="0" applyNumberFormat="1" applyFont="1" applyBorder="1"/>
    <xf numFmtId="0" fontId="2" fillId="0" borderId="1" xfId="0" applyFont="1" applyBorder="1"/>
    <xf numFmtId="165" fontId="6" fillId="5" borderId="1" xfId="0" applyNumberFormat="1" applyFont="1" applyFill="1" applyBorder="1"/>
    <xf numFmtId="0" fontId="6" fillId="0" borderId="1" xfId="0" applyFont="1" applyBorder="1"/>
    <xf numFmtId="0" fontId="0" fillId="5" borderId="1" xfId="0" applyFill="1" applyBorder="1"/>
    <xf numFmtId="0" fontId="6" fillId="0" borderId="1" xfId="0" applyFont="1" applyBorder="1" applyAlignment="1">
      <alignment vertical="top" wrapText="1"/>
    </xf>
    <xf numFmtId="165" fontId="0" fillId="0" borderId="1" xfId="0" applyNumberFormat="1" applyBorder="1"/>
    <xf numFmtId="0" fontId="6" fillId="0" borderId="0" xfId="0" applyFont="1" applyAlignment="1">
      <alignment horizontal="center"/>
    </xf>
    <xf numFmtId="9" fontId="6" fillId="0" borderId="0" xfId="0" applyNumberFormat="1" applyFont="1"/>
    <xf numFmtId="9" fontId="6" fillId="5" borderId="1" xfId="0" applyNumberFormat="1" applyFont="1" applyFill="1" applyBorder="1"/>
    <xf numFmtId="9" fontId="6" fillId="0" borderId="1" xfId="0" applyNumberFormat="1" applyFont="1" applyBorder="1"/>
    <xf numFmtId="0" fontId="2" fillId="0" borderId="1" xfId="0" applyFont="1" applyBorder="1" applyAlignment="1">
      <alignment vertical="top" wrapText="1"/>
    </xf>
    <xf numFmtId="167" fontId="4" fillId="0" borderId="1" xfId="0" applyNumberFormat="1" applyFont="1" applyBorder="1"/>
    <xf numFmtId="9" fontId="4" fillId="0" borderId="1" xfId="0" applyNumberFormat="1" applyFont="1" applyBorder="1"/>
    <xf numFmtId="165" fontId="4" fillId="6" borderId="1" xfId="0" applyNumberFormat="1" applyFont="1" applyFill="1" applyBorder="1"/>
    <xf numFmtId="2" fontId="6" fillId="5" borderId="1" xfId="0" applyNumberFormat="1" applyFont="1" applyFill="1" applyBorder="1"/>
    <xf numFmtId="168" fontId="4" fillId="6" borderId="1" xfId="0" applyNumberFormat="1" applyFont="1" applyFill="1" applyBorder="1"/>
    <xf numFmtId="0" fontId="7" fillId="5" borderId="1" xfId="0" applyFont="1" applyFill="1" applyBorder="1"/>
    <xf numFmtId="169" fontId="7" fillId="5" borderId="1" xfId="0" applyNumberFormat="1" applyFont="1" applyFill="1" applyBorder="1"/>
    <xf numFmtId="165" fontId="4" fillId="5" borderId="1" xfId="0" applyNumberFormat="1" applyFont="1" applyFill="1" applyBorder="1"/>
    <xf numFmtId="166" fontId="9" fillId="4" borderId="1" xfId="0" applyNumberFormat="1" applyFont="1" applyFill="1" applyBorder="1"/>
    <xf numFmtId="0" fontId="4" fillId="5" borderId="1" xfId="0" applyFont="1" applyFill="1" applyBorder="1"/>
    <xf numFmtId="0" fontId="4" fillId="0" borderId="1" xfId="0" applyFont="1" applyBorder="1" applyAlignment="1">
      <alignment horizontal="left" vertical="top"/>
    </xf>
    <xf numFmtId="164" fontId="0" fillId="0" borderId="1" xfId="0" applyNumberFormat="1" applyBorder="1" applyAlignment="1">
      <alignment horizontal="left" vertical="top"/>
    </xf>
    <xf numFmtId="165" fontId="0" fillId="0" borderId="1" xfId="0" applyNumberFormat="1" applyBorder="1" applyAlignment="1">
      <alignment horizontal="left" vertical="top"/>
    </xf>
    <xf numFmtId="169" fontId="0" fillId="0" borderId="1" xfId="0" applyNumberFormat="1" applyBorder="1" applyAlignment="1">
      <alignment horizontal="left" vertical="top"/>
    </xf>
    <xf numFmtId="0" fontId="5" fillId="0" borderId="0" xfId="0" applyFont="1"/>
    <xf numFmtId="0" fontId="0" fillId="0" borderId="4" xfId="0" applyBorder="1"/>
    <xf numFmtId="0" fontId="3" fillId="3" borderId="0" xfId="0" applyFont="1" applyFill="1" applyAlignment="1">
      <alignment horizontal="left" vertical="center" indent="1"/>
    </xf>
    <xf numFmtId="0" fontId="0" fillId="0" borderId="0" xfId="0"/>
    <xf numFmtId="0" fontId="4" fillId="0" borderId="0" xfId="0" applyFont="1"/>
    <xf numFmtId="0" fontId="8" fillId="0" borderId="0" xfId="0" applyFont="1" applyAlignment="1">
      <alignment vertical="top" wrapText="1"/>
    </xf>
    <xf numFmtId="0" fontId="1" fillId="2" borderId="0" xfId="0" applyFont="1" applyFill="1" applyAlignment="1">
      <alignment horizontal="left" vertical="center" indent="1"/>
    </xf>
    <xf numFmtId="0" fontId="4" fillId="0" borderId="0" xfId="0" applyFont="1" applyAlignment="1">
      <alignment vertical="top" wrapText="1"/>
    </xf>
    <xf numFmtId="0" fontId="2" fillId="0" borderId="0" xfId="0" applyFont="1"/>
    <xf numFmtId="0" fontId="8" fillId="0" borderId="2" xfId="0" applyFont="1" applyBorder="1" applyAlignment="1">
      <alignment vertical="top" wrapText="1"/>
    </xf>
    <xf numFmtId="0" fontId="0" fillId="0" borderId="4" xfId="0" applyBorder="1"/>
    <xf numFmtId="0" fontId="3" fillId="3" borderId="2" xfId="0" applyFont="1" applyFill="1" applyBorder="1" applyAlignment="1">
      <alignment horizontal="left" vertical="center" indent="1"/>
    </xf>
    <xf numFmtId="0" fontId="2" fillId="0" borderId="2" xfId="0" applyFont="1" applyBorder="1" applyAlignment="1">
      <alignment vertical="top" wrapText="1"/>
    </xf>
    <xf numFmtId="0" fontId="2" fillId="0" borderId="0" xfId="0" applyFont="1" applyAlignment="1">
      <alignment vertical="top" wrapText="1"/>
    </xf>
    <xf numFmtId="0" fontId="6" fillId="5" borderId="1" xfId="0" applyFont="1" applyFill="1" applyBorder="1"/>
    <xf numFmtId="0" fontId="0" fillId="0" borderId="6" xfId="0" applyBorder="1"/>
    <xf numFmtId="0" fontId="4" fillId="0" borderId="1" xfId="0" applyFont="1" applyBorder="1"/>
    <xf numFmtId="0" fontId="3" fillId="3" borderId="1" xfId="0" applyFont="1" applyFill="1" applyBorder="1" applyAlignment="1">
      <alignment horizontal="left" vertical="center" indent="1"/>
    </xf>
    <xf numFmtId="0" fontId="4" fillId="0" borderId="2" xfId="0" applyFont="1" applyBorder="1"/>
    <xf numFmtId="0" fontId="6" fillId="5" borderId="1" xfId="0" applyFont="1" applyFill="1" applyBorder="1" applyAlignment="1">
      <alignment vertical="top" wrapText="1"/>
    </xf>
    <xf numFmtId="0" fontId="0" fillId="0" borderId="3" xfId="0" applyBorder="1"/>
    <xf numFmtId="0" fontId="0" fillId="0" borderId="5"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13" xfId="0" applyBorder="1"/>
    <xf numFmtId="0" fontId="8" fillId="0" borderId="1" xfId="0" applyFont="1" applyBorder="1" applyAlignment="1">
      <alignment vertical="top" wrapText="1"/>
    </xf>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D51"/>
  <sheetViews>
    <sheetView showGridLines="0" tabSelected="1" zoomScaleNormal="100" workbookViewId="0">
      <pane ySplit="2" topLeftCell="A3" activePane="bottomLeft" state="frozen"/>
      <selection pane="bottomLeft" sqref="A1:D1"/>
    </sheetView>
  </sheetViews>
  <sheetFormatPr defaultColWidth="8.6640625" defaultRowHeight="14.4" x14ac:dyDescent="0.3"/>
  <cols>
    <col min="1" max="1" width="3" customWidth="1"/>
    <col min="2" max="4" width="34" customWidth="1"/>
    <col min="5" max="5" width="3" customWidth="1"/>
  </cols>
  <sheetData>
    <row r="1" spans="1:4" ht="30" customHeight="1" x14ac:dyDescent="0.3">
      <c r="A1" s="57" t="s">
        <v>0</v>
      </c>
      <c r="B1" s="54"/>
      <c r="C1" s="54"/>
      <c r="D1" s="54"/>
    </row>
    <row r="2" spans="1:4" ht="15" customHeight="1" x14ac:dyDescent="0.3">
      <c r="A2" s="59" t="s">
        <v>1</v>
      </c>
      <c r="B2" s="54"/>
      <c r="C2" s="54"/>
      <c r="D2" s="54"/>
    </row>
    <row r="4" spans="1:4" ht="18" customHeight="1" x14ac:dyDescent="0.3">
      <c r="A4" s="53" t="s">
        <v>2</v>
      </c>
      <c r="B4" s="54"/>
      <c r="C4" s="54"/>
      <c r="D4" s="54"/>
    </row>
    <row r="5" spans="1:4" ht="15" customHeight="1" x14ac:dyDescent="0.3">
      <c r="A5" s="58" t="s">
        <v>3</v>
      </c>
      <c r="B5" s="54"/>
      <c r="C5" s="54"/>
      <c r="D5" s="54"/>
    </row>
    <row r="6" spans="1:4" ht="15" customHeight="1" x14ac:dyDescent="0.3">
      <c r="A6" s="54"/>
      <c r="B6" s="54"/>
      <c r="C6" s="54"/>
      <c r="D6" s="54"/>
    </row>
    <row r="8" spans="1:4" ht="18" customHeight="1" x14ac:dyDescent="0.3">
      <c r="A8" s="53" t="s">
        <v>4</v>
      </c>
      <c r="B8" s="54"/>
      <c r="C8" s="54"/>
      <c r="D8" s="54"/>
    </row>
    <row r="9" spans="1:4" ht="15" customHeight="1" x14ac:dyDescent="0.3">
      <c r="A9" s="58" t="s">
        <v>5</v>
      </c>
      <c r="B9" s="54"/>
      <c r="C9" s="54"/>
      <c r="D9" s="54"/>
    </row>
    <row r="10" spans="1:4" ht="15" customHeight="1" x14ac:dyDescent="0.3">
      <c r="A10" s="54"/>
      <c r="B10" s="54"/>
      <c r="C10" s="54"/>
      <c r="D10" s="54"/>
    </row>
    <row r="11" spans="1:4" ht="15" customHeight="1" x14ac:dyDescent="0.3">
      <c r="A11" s="58" t="s">
        <v>6</v>
      </c>
      <c r="B11" s="54"/>
      <c r="C11" s="54"/>
      <c r="D11" s="54"/>
    </row>
    <row r="12" spans="1:4" ht="15" customHeight="1" x14ac:dyDescent="0.3">
      <c r="A12" s="54"/>
      <c r="B12" s="54"/>
      <c r="C12" s="54"/>
      <c r="D12" s="54"/>
    </row>
    <row r="13" spans="1:4" ht="15" customHeight="1" x14ac:dyDescent="0.3">
      <c r="A13" s="58" t="s">
        <v>7</v>
      </c>
      <c r="B13" s="54"/>
      <c r="C13" s="54"/>
      <c r="D13" s="54"/>
    </row>
    <row r="14" spans="1:4" ht="15" customHeight="1" x14ac:dyDescent="0.3">
      <c r="A14" s="54"/>
      <c r="B14" s="54"/>
      <c r="C14" s="54"/>
      <c r="D14" s="54"/>
    </row>
    <row r="15" spans="1:4" ht="15" customHeight="1" x14ac:dyDescent="0.3">
      <c r="A15" s="58" t="s">
        <v>8</v>
      </c>
      <c r="B15" s="54"/>
      <c r="C15" s="54"/>
      <c r="D15" s="54"/>
    </row>
    <row r="16" spans="1:4" ht="15" customHeight="1" x14ac:dyDescent="0.3">
      <c r="A16" s="54"/>
      <c r="B16" s="54"/>
      <c r="C16" s="54"/>
      <c r="D16" s="54"/>
    </row>
    <row r="17" spans="1:4" ht="15" customHeight="1" x14ac:dyDescent="0.3">
      <c r="A17" s="58" t="s">
        <v>9</v>
      </c>
      <c r="B17" s="54"/>
      <c r="C17" s="54"/>
      <c r="D17" s="54"/>
    </row>
    <row r="18" spans="1:4" ht="15" customHeight="1" x14ac:dyDescent="0.3">
      <c r="A18" s="54"/>
      <c r="B18" s="54"/>
      <c r="C18" s="54"/>
      <c r="D18" s="54"/>
    </row>
    <row r="19" spans="1:4" ht="15" customHeight="1" x14ac:dyDescent="0.3">
      <c r="A19" s="58" t="s">
        <v>10</v>
      </c>
      <c r="B19" s="54"/>
      <c r="C19" s="54"/>
      <c r="D19" s="54"/>
    </row>
    <row r="20" spans="1:4" ht="15" customHeight="1" x14ac:dyDescent="0.3">
      <c r="A20" s="54"/>
      <c r="B20" s="54"/>
      <c r="C20" s="54"/>
      <c r="D20" s="54"/>
    </row>
    <row r="22" spans="1:4" ht="18" customHeight="1" x14ac:dyDescent="0.3">
      <c r="A22" s="53" t="s">
        <v>11</v>
      </c>
      <c r="B22" s="54"/>
      <c r="C22" s="54"/>
      <c r="D22" s="54"/>
    </row>
    <row r="23" spans="1:4" ht="30" customHeight="1" x14ac:dyDescent="0.3">
      <c r="A23" s="2" t="s">
        <v>12</v>
      </c>
      <c r="B23" s="2" t="s">
        <v>13</v>
      </c>
      <c r="C23" s="2"/>
      <c r="D23" s="2"/>
    </row>
    <row r="24" spans="1:4" ht="15" customHeight="1" x14ac:dyDescent="0.3">
      <c r="A24" s="3" t="s">
        <v>14</v>
      </c>
      <c r="B24" s="55" t="s">
        <v>15</v>
      </c>
      <c r="C24" s="54"/>
      <c r="D24" s="54"/>
    </row>
    <row r="25" spans="1:4" ht="15" customHeight="1" x14ac:dyDescent="0.3">
      <c r="A25" s="3" t="s">
        <v>16</v>
      </c>
      <c r="B25" s="55" t="s">
        <v>17</v>
      </c>
      <c r="C25" s="54"/>
      <c r="D25" s="54"/>
    </row>
    <row r="26" spans="1:4" ht="15" customHeight="1" x14ac:dyDescent="0.3">
      <c r="A26" s="3" t="s">
        <v>18</v>
      </c>
      <c r="B26" s="55" t="s">
        <v>19</v>
      </c>
      <c r="C26" s="54"/>
      <c r="D26" s="54"/>
    </row>
    <row r="27" spans="1:4" ht="15" customHeight="1" x14ac:dyDescent="0.3">
      <c r="A27" s="4" t="s">
        <v>20</v>
      </c>
      <c r="B27" s="55" t="s">
        <v>21</v>
      </c>
      <c r="C27" s="54"/>
      <c r="D27" s="54"/>
    </row>
    <row r="28" spans="1:4" ht="15" customHeight="1" x14ac:dyDescent="0.3">
      <c r="A28" s="5" t="s">
        <v>22</v>
      </c>
      <c r="B28" s="55" t="s">
        <v>23</v>
      </c>
      <c r="C28" s="54"/>
      <c r="D28" s="54"/>
    </row>
    <row r="29" spans="1:4" ht="15" customHeight="1" x14ac:dyDescent="0.3">
      <c r="A29" s="6" t="s">
        <v>24</v>
      </c>
      <c r="B29" s="55" t="s">
        <v>25</v>
      </c>
      <c r="C29" s="54"/>
      <c r="D29" s="54"/>
    </row>
    <row r="31" spans="1:4" ht="18" customHeight="1" x14ac:dyDescent="0.3">
      <c r="A31" s="53" t="s">
        <v>26</v>
      </c>
      <c r="B31" s="54"/>
      <c r="C31" s="54"/>
      <c r="D31" s="54"/>
    </row>
    <row r="32" spans="1:4" ht="15" customHeight="1" x14ac:dyDescent="0.3">
      <c r="A32" s="4" t="s">
        <v>27</v>
      </c>
    </row>
    <row r="33" spans="1:4" ht="15" customHeight="1" x14ac:dyDescent="0.3">
      <c r="A33" s="4" t="s">
        <v>28</v>
      </c>
    </row>
    <row r="34" spans="1:4" ht="15" customHeight="1" x14ac:dyDescent="0.3">
      <c r="A34" s="4" t="s">
        <v>29</v>
      </c>
    </row>
    <row r="35" spans="1:4" ht="15" customHeight="1" x14ac:dyDescent="0.3">
      <c r="A35" s="4" t="s">
        <v>30</v>
      </c>
    </row>
    <row r="36" spans="1:4" ht="15" customHeight="1" x14ac:dyDescent="0.3">
      <c r="A36" s="4" t="s">
        <v>31</v>
      </c>
    </row>
    <row r="37" spans="1:4" ht="15" customHeight="1" x14ac:dyDescent="0.3">
      <c r="A37" s="4" t="s">
        <v>32</v>
      </c>
    </row>
    <row r="38" spans="1:4" ht="15" customHeight="1" x14ac:dyDescent="0.3">
      <c r="A38" s="4" t="s">
        <v>33</v>
      </c>
    </row>
    <row r="39" spans="1:4" ht="15" customHeight="1" x14ac:dyDescent="0.3">
      <c r="A39" s="4" t="s">
        <v>34</v>
      </c>
    </row>
    <row r="40" spans="1:4" ht="15" customHeight="1" x14ac:dyDescent="0.3">
      <c r="A40" s="4" t="s">
        <v>35</v>
      </c>
    </row>
    <row r="41" spans="1:4" ht="15" customHeight="1" x14ac:dyDescent="0.3">
      <c r="A41" s="4" t="s">
        <v>36</v>
      </c>
    </row>
    <row r="42" spans="1:4" ht="15" customHeight="1" x14ac:dyDescent="0.3">
      <c r="A42" s="4" t="s">
        <v>37</v>
      </c>
    </row>
    <row r="43" spans="1:4" ht="15" customHeight="1" x14ac:dyDescent="0.3">
      <c r="A43" s="4" t="s">
        <v>38</v>
      </c>
    </row>
    <row r="44" spans="1:4" ht="15" customHeight="1" x14ac:dyDescent="0.3">
      <c r="A44" s="4" t="s">
        <v>39</v>
      </c>
    </row>
    <row r="45" spans="1:4" ht="15" customHeight="1" x14ac:dyDescent="0.3">
      <c r="A45" s="4" t="s">
        <v>40</v>
      </c>
    </row>
    <row r="46" spans="1:4" ht="15" customHeight="1" x14ac:dyDescent="0.3">
      <c r="A46" s="4" t="s">
        <v>41</v>
      </c>
    </row>
    <row r="48" spans="1:4" ht="18" customHeight="1" x14ac:dyDescent="0.3">
      <c r="A48" s="53" t="s">
        <v>42</v>
      </c>
      <c r="B48" s="54"/>
      <c r="C48" s="54"/>
      <c r="D48" s="54"/>
    </row>
    <row r="49" spans="1:4" ht="15" customHeight="1" x14ac:dyDescent="0.3">
      <c r="A49" s="56" t="s">
        <v>43</v>
      </c>
      <c r="B49" s="54"/>
      <c r="C49" s="54"/>
      <c r="D49" s="54"/>
    </row>
    <row r="50" spans="1:4" ht="15" customHeight="1" x14ac:dyDescent="0.3">
      <c r="A50" s="54"/>
      <c r="B50" s="54"/>
      <c r="C50" s="54"/>
      <c r="D50" s="54"/>
    </row>
    <row r="51" spans="1:4" ht="15" customHeight="1" x14ac:dyDescent="0.3">
      <c r="A51" s="54"/>
      <c r="B51" s="54"/>
      <c r="C51" s="54"/>
      <c r="D51" s="54"/>
    </row>
  </sheetData>
  <mergeCells count="21">
    <mergeCell ref="A31:D31"/>
    <mergeCell ref="A48:D48"/>
    <mergeCell ref="B24:D24"/>
    <mergeCell ref="A49:D51"/>
    <mergeCell ref="A1:D1"/>
    <mergeCell ref="A5:D6"/>
    <mergeCell ref="A17:D18"/>
    <mergeCell ref="A13:D14"/>
    <mergeCell ref="B26:D26"/>
    <mergeCell ref="A19:D20"/>
    <mergeCell ref="B25:D25"/>
    <mergeCell ref="A9:D10"/>
    <mergeCell ref="B27:D27"/>
    <mergeCell ref="A15:D16"/>
    <mergeCell ref="A2:D2"/>
    <mergeCell ref="A11:D12"/>
    <mergeCell ref="A8:D8"/>
    <mergeCell ref="A22:D22"/>
    <mergeCell ref="A4:D4"/>
    <mergeCell ref="B29:D29"/>
    <mergeCell ref="B28:D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59"/>
  <sheetViews>
    <sheetView showGridLines="0" zoomScaleNormal="100" workbookViewId="0">
      <pane ySplit="3" topLeftCell="A4" activePane="bottomLeft" state="frozen"/>
      <selection pane="bottomLeft"/>
    </sheetView>
  </sheetViews>
  <sheetFormatPr defaultColWidth="8.6640625" defaultRowHeight="14.4" x14ac:dyDescent="0.3"/>
  <cols>
    <col min="1" max="1" width="42" customWidth="1"/>
    <col min="2" max="2" width="18" customWidth="1"/>
    <col min="3" max="3" width="42" customWidth="1"/>
    <col min="4" max="4" width="20" customWidth="1"/>
  </cols>
  <sheetData>
    <row r="1" spans="1:4" ht="30" customHeight="1" x14ac:dyDescent="0.3">
      <c r="A1" s="57" t="s">
        <v>44</v>
      </c>
      <c r="B1" s="54"/>
      <c r="C1" s="54"/>
      <c r="D1" s="54"/>
    </row>
    <row r="2" spans="1:4" ht="21.75" customHeight="1" x14ac:dyDescent="0.3">
      <c r="A2" s="56" t="s">
        <v>45</v>
      </c>
      <c r="B2" s="54"/>
      <c r="C2" s="54"/>
      <c r="D2" s="54"/>
    </row>
    <row r="4" spans="1:4" ht="18" customHeight="1" x14ac:dyDescent="0.3">
      <c r="A4" s="62" t="s">
        <v>46</v>
      </c>
      <c r="B4" s="61"/>
      <c r="C4" s="61"/>
      <c r="D4" s="61"/>
    </row>
    <row r="5" spans="1:4" ht="15" customHeight="1" x14ac:dyDescent="0.3">
      <c r="A5" s="8" t="s">
        <v>47</v>
      </c>
      <c r="B5" s="9" t="str">
        <f>'1. Entity Setup'!C4</f>
        <v>Northern Peak Consulting Inc.</v>
      </c>
    </row>
    <row r="6" spans="1:4" ht="15" customHeight="1" x14ac:dyDescent="0.3">
      <c r="A6" s="8" t="s">
        <v>48</v>
      </c>
      <c r="B6" s="9" t="str">
        <f>'1. Entity Setup'!$C$12</f>
        <v>Alberta</v>
      </c>
    </row>
    <row r="7" spans="1:4" ht="15" customHeight="1" x14ac:dyDescent="0.3">
      <c r="A7" s="8" t="s">
        <v>49</v>
      </c>
      <c r="B7" s="9" t="str">
        <f>'1. Entity Setup'!$C$18</f>
        <v>2025</v>
      </c>
    </row>
    <row r="8" spans="1:4" ht="15" customHeight="1" x14ac:dyDescent="0.3">
      <c r="A8" s="8" t="s">
        <v>50</v>
      </c>
      <c r="B8" s="9" t="str">
        <f>'1. Entity Setup'!$C$28</f>
        <v>Yes</v>
      </c>
    </row>
    <row r="9" spans="1:4" ht="15" customHeight="1" x14ac:dyDescent="0.3">
      <c r="A9" s="10"/>
      <c r="B9" s="10"/>
    </row>
    <row r="10" spans="1:4" ht="18" customHeight="1" x14ac:dyDescent="0.3">
      <c r="A10" s="62" t="s">
        <v>51</v>
      </c>
      <c r="B10" s="61"/>
      <c r="C10" s="61"/>
      <c r="D10" s="61"/>
    </row>
    <row r="11" spans="1:4" ht="15" customHeight="1" x14ac:dyDescent="0.3">
      <c r="A11" s="8" t="s">
        <v>52</v>
      </c>
      <c r="B11" s="11">
        <f>INDEX('Province Rate Reference'!$C$5:$C$17,MATCH(B6,'Province Rate Reference'!$A$5:$A$17,0))</f>
        <v>0.11</v>
      </c>
    </row>
    <row r="12" spans="1:4" ht="15" customHeight="1" x14ac:dyDescent="0.3">
      <c r="A12" s="8" t="s">
        <v>53</v>
      </c>
      <c r="B12" s="11">
        <f>INDEX('Province Rate Reference'!$B$5:$B$17,MATCH(B6,'Province Rate Reference'!$A$5:$A$17,0))</f>
        <v>0.23</v>
      </c>
    </row>
    <row r="13" spans="1:4" ht="42.75" customHeight="1" x14ac:dyDescent="0.3">
      <c r="A13" s="8" t="s">
        <v>54</v>
      </c>
      <c r="B13" s="11">
        <f>B12+0.2367</f>
        <v>0.4667</v>
      </c>
      <c r="C13" s="12" t="s">
        <v>55</v>
      </c>
    </row>
    <row r="14" spans="1:4" ht="15" customHeight="1" x14ac:dyDescent="0.3">
      <c r="A14" s="10"/>
      <c r="B14" s="10"/>
    </row>
    <row r="15" spans="1:4" ht="18" customHeight="1" x14ac:dyDescent="0.3">
      <c r="A15" s="62" t="s">
        <v>56</v>
      </c>
      <c r="B15" s="61"/>
      <c r="C15" s="61"/>
      <c r="D15" s="61"/>
    </row>
    <row r="16" spans="1:4" ht="15" customHeight="1" x14ac:dyDescent="0.3">
      <c r="A16" s="8" t="s">
        <v>57</v>
      </c>
      <c r="B16" s="13">
        <f>'3. Income Statement'!B47</f>
        <v>190000</v>
      </c>
    </row>
    <row r="17" spans="1:4" ht="23.25" customHeight="1" x14ac:dyDescent="0.3">
      <c r="A17" s="14" t="s">
        <v>58</v>
      </c>
      <c r="B17" s="13">
        <f>'3. Income Statement'!B48</f>
        <v>55000</v>
      </c>
    </row>
    <row r="18" spans="1:4" ht="23.25" customHeight="1" x14ac:dyDescent="0.3">
      <c r="A18" s="14" t="s">
        <v>59</v>
      </c>
      <c r="B18" s="15">
        <f>MIN(500000,MAX(0,(B17-50000)*5))</f>
        <v>25000</v>
      </c>
    </row>
    <row r="19" spans="1:4" ht="23.25" customHeight="1" x14ac:dyDescent="0.3">
      <c r="A19" s="14" t="s">
        <v>60</v>
      </c>
      <c r="B19" s="13">
        <f>'7. Associated Corporations'!E10</f>
        <v>1565000</v>
      </c>
    </row>
    <row r="20" spans="1:4" ht="23.25" customHeight="1" x14ac:dyDescent="0.3">
      <c r="A20" s="14" t="s">
        <v>61</v>
      </c>
      <c r="B20" s="15">
        <f>MIN(500000,MAX(0,(B19-10000000)/40000000*500000))</f>
        <v>0</v>
      </c>
    </row>
    <row r="21" spans="1:4" ht="15" customHeight="1" x14ac:dyDescent="0.3">
      <c r="A21" s="16" t="s">
        <v>62</v>
      </c>
      <c r="B21" s="15">
        <f>MAX(0,500000-MAX(B18,B20))</f>
        <v>475000</v>
      </c>
    </row>
    <row r="22" spans="1:4" ht="32.25" customHeight="1" x14ac:dyDescent="0.3">
      <c r="A22" s="16" t="s">
        <v>63</v>
      </c>
      <c r="B22" s="15">
        <f>MIN(B21,IF('1. Entity Setup'!$C$28="Yes",IFERROR(VLOOKUP("Northern Peak Consulting Inc. (this entity)",'7. Associated Corporations'!A5:F9,6,FALSE()),500000),500000))</f>
        <v>350000</v>
      </c>
      <c r="C22" s="12" t="s">
        <v>64</v>
      </c>
    </row>
    <row r="23" spans="1:4" ht="15" customHeight="1" x14ac:dyDescent="0.3">
      <c r="A23" s="8" t="s">
        <v>65</v>
      </c>
      <c r="B23" s="15">
        <f>MIN(B16,B22)</f>
        <v>190000</v>
      </c>
    </row>
    <row r="24" spans="1:4" ht="15" customHeight="1" x14ac:dyDescent="0.3">
      <c r="A24" s="8" t="s">
        <v>66</v>
      </c>
      <c r="B24" s="15">
        <f>MAX(0,B16-B22)</f>
        <v>0</v>
      </c>
    </row>
    <row r="25" spans="1:4" ht="15" customHeight="1" x14ac:dyDescent="0.3">
      <c r="A25" s="16" t="s">
        <v>67</v>
      </c>
      <c r="B25" s="8" t="str">
        <f>IF(B18&gt;0,"GRINDING — AAII over $50,000","OK — under $50,000 threshold")</f>
        <v>GRINDING — AAII over $50,000</v>
      </c>
    </row>
    <row r="26" spans="1:4" ht="15" customHeight="1" x14ac:dyDescent="0.3">
      <c r="A26" s="10"/>
      <c r="B26" s="10"/>
    </row>
    <row r="27" spans="1:4" ht="18" customHeight="1" x14ac:dyDescent="0.3">
      <c r="A27" s="62" t="s">
        <v>68</v>
      </c>
      <c r="B27" s="61"/>
      <c r="C27" s="61"/>
      <c r="D27" s="61"/>
    </row>
    <row r="28" spans="1:4" ht="15" customHeight="1" x14ac:dyDescent="0.3">
      <c r="A28" s="8" t="s">
        <v>69</v>
      </c>
      <c r="B28" s="15">
        <f>B23*B11</f>
        <v>20900</v>
      </c>
    </row>
    <row r="29" spans="1:4" ht="15" customHeight="1" x14ac:dyDescent="0.3">
      <c r="A29" s="8" t="s">
        <v>70</v>
      </c>
      <c r="B29" s="15">
        <f>B24*B12</f>
        <v>0</v>
      </c>
    </row>
    <row r="30" spans="1:4" ht="15" customHeight="1" x14ac:dyDescent="0.3">
      <c r="A30" s="8" t="s">
        <v>71</v>
      </c>
      <c r="B30" s="15">
        <f>B17*B13</f>
        <v>25668.5</v>
      </c>
    </row>
    <row r="31" spans="1:4" ht="15" customHeight="1" x14ac:dyDescent="0.3">
      <c r="A31" s="17" t="s">
        <v>72</v>
      </c>
      <c r="B31" s="18">
        <f>B28+B29+B30</f>
        <v>46568.5</v>
      </c>
      <c r="C31" s="19"/>
      <c r="D31" s="19"/>
    </row>
    <row r="32" spans="1:4" ht="15" customHeight="1" x14ac:dyDescent="0.3">
      <c r="A32" s="8" t="s">
        <v>73</v>
      </c>
      <c r="B32" s="13">
        <f>'11. Instalments &amp; Compliance'!B20</f>
        <v>40500</v>
      </c>
    </row>
    <row r="33" spans="1:4" ht="15" customHeight="1" x14ac:dyDescent="0.3">
      <c r="A33" s="16" t="s">
        <v>74</v>
      </c>
      <c r="B33" s="20">
        <f>B31-B32</f>
        <v>6068.5</v>
      </c>
    </row>
    <row r="34" spans="1:4" ht="15" customHeight="1" x14ac:dyDescent="0.3">
      <c r="A34" s="8" t="s">
        <v>75</v>
      </c>
      <c r="B34" s="8" t="str">
        <f>IF(B31&gt;3000,"Yes","No")</f>
        <v>Yes</v>
      </c>
    </row>
    <row r="35" spans="1:4" ht="15" customHeight="1" x14ac:dyDescent="0.3">
      <c r="A35" s="10"/>
      <c r="B35" s="10"/>
    </row>
    <row r="36" spans="1:4" ht="18" customHeight="1" x14ac:dyDescent="0.3">
      <c r="A36" s="62" t="s">
        <v>76</v>
      </c>
      <c r="B36" s="61"/>
      <c r="C36" s="61"/>
      <c r="D36" s="61"/>
    </row>
    <row r="37" spans="1:4" ht="23.25" customHeight="1" x14ac:dyDescent="0.3">
      <c r="A37" s="14" t="s">
        <v>77</v>
      </c>
      <c r="B37" s="15">
        <f>B17*0.3067</f>
        <v>16868.5</v>
      </c>
    </row>
    <row r="38" spans="1:4" ht="15" customHeight="1" x14ac:dyDescent="0.3">
      <c r="A38" s="8" t="s">
        <v>78</v>
      </c>
      <c r="B38" s="13">
        <f>'5. Prior-Year Tax Attributes'!C6</f>
        <v>42300</v>
      </c>
    </row>
    <row r="39" spans="1:4" ht="15" customHeight="1" x14ac:dyDescent="0.3">
      <c r="A39" s="16" t="s">
        <v>79</v>
      </c>
      <c r="B39" s="15">
        <f>B38+B37</f>
        <v>59168.5</v>
      </c>
    </row>
    <row r="40" spans="1:4" ht="15" customHeight="1" x14ac:dyDescent="0.3">
      <c r="A40" s="8" t="s">
        <v>80</v>
      </c>
      <c r="B40" s="13">
        <f>'5. Prior-Year Tax Attributes'!C5</f>
        <v>18500</v>
      </c>
    </row>
    <row r="41" spans="1:4" ht="23.25" customHeight="1" x14ac:dyDescent="0.3">
      <c r="A41" s="14" t="s">
        <v>81</v>
      </c>
      <c r="B41" s="15">
        <f>B39/0.3833</f>
        <v>154366.0318288547</v>
      </c>
    </row>
    <row r="42" spans="1:4" ht="15" customHeight="1" x14ac:dyDescent="0.3">
      <c r="A42" s="8" t="s">
        <v>82</v>
      </c>
      <c r="B42" s="15">
        <f>B40/0.3833</f>
        <v>48265.066527524134</v>
      </c>
    </row>
    <row r="43" spans="1:4" ht="15" customHeight="1" x14ac:dyDescent="0.3">
      <c r="A43" s="8" t="s">
        <v>83</v>
      </c>
      <c r="B43" s="13">
        <f>'5. Prior-Year Tax Attributes'!C9</f>
        <v>65000</v>
      </c>
    </row>
    <row r="44" spans="1:4" ht="15" customHeight="1" x14ac:dyDescent="0.3">
      <c r="A44" s="16" t="s">
        <v>84</v>
      </c>
      <c r="B44" s="13">
        <f>'5. Prior-Year Tax Attributes'!C12</f>
        <v>22000</v>
      </c>
    </row>
    <row r="45" spans="1:4" ht="15" customHeight="1" x14ac:dyDescent="0.3">
      <c r="A45" s="16" t="s">
        <v>85</v>
      </c>
      <c r="B45" s="21" t="str">
        <f>IF(B44&gt;0,"CDA balance sitting idle — consider a capital dividend election","No CDA balance available")</f>
        <v>CDA balance sitting idle — consider a capital dividend election</v>
      </c>
    </row>
    <row r="46" spans="1:4" ht="15" customHeight="1" x14ac:dyDescent="0.3">
      <c r="A46" s="10"/>
      <c r="B46" s="10"/>
    </row>
    <row r="47" spans="1:4" ht="18" customHeight="1" x14ac:dyDescent="0.3">
      <c r="A47" s="62" t="s">
        <v>86</v>
      </c>
      <c r="B47" s="61"/>
      <c r="C47" s="61"/>
      <c r="D47" s="61"/>
    </row>
    <row r="48" spans="1:4" ht="15" customHeight="1" x14ac:dyDescent="0.3">
      <c r="A48" s="8" t="s">
        <v>87</v>
      </c>
      <c r="B48" s="13">
        <f>'9. Payroll Register'!C13</f>
        <v>600000</v>
      </c>
    </row>
    <row r="49" spans="1:4" ht="15" customHeight="1" x14ac:dyDescent="0.3">
      <c r="A49" s="8" t="s">
        <v>88</v>
      </c>
      <c r="B49" s="13">
        <f>'9. Payroll Register'!C18</f>
        <v>7343.8399999999983</v>
      </c>
    </row>
    <row r="50" spans="1:4" ht="15" customHeight="1" x14ac:dyDescent="0.3">
      <c r="A50" s="8" t="s">
        <v>89</v>
      </c>
      <c r="B50" s="22">
        <f>'10. GST-HST'!C28</f>
        <v>11900</v>
      </c>
    </row>
    <row r="51" spans="1:4" ht="23.25" customHeight="1" x14ac:dyDescent="0.3">
      <c r="A51" s="14" t="s">
        <v>90</v>
      </c>
      <c r="B51" s="13">
        <f>'6. CCA Continuity'!H13</f>
        <v>36900</v>
      </c>
    </row>
    <row r="52" spans="1:4" ht="15" customHeight="1" x14ac:dyDescent="0.3">
      <c r="A52" s="8" t="s">
        <v>91</v>
      </c>
      <c r="B52" s="13">
        <f>'12. Credits &amp; Incentives'!C9</f>
        <v>22750</v>
      </c>
    </row>
    <row r="53" spans="1:4" ht="15" customHeight="1" x14ac:dyDescent="0.3">
      <c r="A53" s="8" t="s">
        <v>92</v>
      </c>
      <c r="B53" s="13">
        <f>'12. Credits &amp; Incentives'!C14</f>
        <v>9750</v>
      </c>
    </row>
    <row r="54" spans="1:4" ht="15" customHeight="1" x14ac:dyDescent="0.3">
      <c r="A54" s="10"/>
      <c r="B54" s="10"/>
    </row>
    <row r="55" spans="1:4" ht="18" customHeight="1" x14ac:dyDescent="0.3">
      <c r="A55" s="62" t="s">
        <v>93</v>
      </c>
      <c r="B55" s="61"/>
      <c r="C55" s="61"/>
      <c r="D55" s="61"/>
    </row>
    <row r="56" spans="1:4" ht="15" customHeight="1" x14ac:dyDescent="0.3">
      <c r="A56" s="60" t="str">
        <f>IF(B18&gt;0,"• Passive income is grinding the SBD limit — consider moving investments to a holding company or reducing corporate investment income.","")</f>
        <v>• Passive income is grinding the SBD limit — consider moving investments to a holding company or reducing corporate investment income.</v>
      </c>
      <c r="B56" s="61"/>
      <c r="C56" s="61"/>
      <c r="D56" s="61"/>
    </row>
    <row r="57" spans="1:4" ht="15" customHeight="1" x14ac:dyDescent="0.3">
      <c r="A57" s="60" t="str">
        <f>IF(COUNTIF('8. Shareholders &amp; TOSI'!I5:I20,"Not Excluded - TOSI Risk")&gt;0,"• One or more shareholders flagged for TOSI risk — dividends to them may be taxed at top marginal rate.","")</f>
        <v>• One or more shareholders flagged for TOSI risk — dividends to them may be taxed at top marginal rate.</v>
      </c>
      <c r="B57" s="61"/>
      <c r="C57" s="61"/>
      <c r="D57" s="61"/>
    </row>
    <row r="58" spans="1:4" ht="15" customHeight="1" x14ac:dyDescent="0.3">
      <c r="A58" s="60" t="str">
        <f>IF(B44&gt;0,"• Unused Capital Dividend Account balance — a tax-free capital dividend may be available.","")</f>
        <v>• Unused Capital Dividend Account balance — a tax-free capital dividend may be available.</v>
      </c>
      <c r="B58" s="61"/>
      <c r="C58" s="61"/>
      <c r="D58" s="61"/>
    </row>
    <row r="59" spans="1:4" ht="21.75" customHeight="1" x14ac:dyDescent="0.3">
      <c r="A59" s="63" t="s">
        <v>94</v>
      </c>
      <c r="B59" s="61"/>
      <c r="C59" s="61"/>
      <c r="D59" s="61"/>
    </row>
  </sheetData>
  <mergeCells count="13">
    <mergeCell ref="A59:D59"/>
    <mergeCell ref="A57:D57"/>
    <mergeCell ref="A2:D2"/>
    <mergeCell ref="A10:D10"/>
    <mergeCell ref="A36:D36"/>
    <mergeCell ref="A47:D47"/>
    <mergeCell ref="A1:D1"/>
    <mergeCell ref="A56:D56"/>
    <mergeCell ref="A27:D27"/>
    <mergeCell ref="A58:D58"/>
    <mergeCell ref="A4:D4"/>
    <mergeCell ref="A55:D55"/>
    <mergeCell ref="A15:D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D29"/>
  <sheetViews>
    <sheetView showGridLines="0" zoomScaleNormal="100" workbookViewId="0">
      <pane ySplit="2" topLeftCell="A3" activePane="bottomLeft" state="frozen"/>
      <selection pane="bottomLeft"/>
    </sheetView>
  </sheetViews>
  <sheetFormatPr defaultColWidth="8.6640625" defaultRowHeight="14.4" x14ac:dyDescent="0.3"/>
  <cols>
    <col min="1" max="1" width="30" customWidth="1"/>
    <col min="2" max="2" width="3" customWidth="1"/>
    <col min="3" max="3" width="24" customWidth="1"/>
    <col min="4" max="4" width="40" customWidth="1"/>
  </cols>
  <sheetData>
    <row r="1" spans="1:4" ht="25.5" customHeight="1" x14ac:dyDescent="0.3">
      <c r="A1" s="57" t="s">
        <v>95</v>
      </c>
      <c r="B1" s="54"/>
      <c r="C1" s="54"/>
      <c r="D1" s="54"/>
    </row>
    <row r="3" spans="1:4" ht="18" customHeight="1" x14ac:dyDescent="0.3">
      <c r="A3" s="53" t="s">
        <v>96</v>
      </c>
      <c r="B3" s="54"/>
      <c r="C3" s="54"/>
      <c r="D3" s="54"/>
    </row>
    <row r="4" spans="1:4" ht="15" customHeight="1" x14ac:dyDescent="0.3">
      <c r="A4" s="55" t="s">
        <v>97</v>
      </c>
      <c r="B4" s="54"/>
      <c r="C4" s="23" t="s">
        <v>98</v>
      </c>
    </row>
    <row r="5" spans="1:4" ht="15" customHeight="1" x14ac:dyDescent="0.3">
      <c r="A5" s="55" t="s">
        <v>99</v>
      </c>
      <c r="B5" s="54"/>
      <c r="C5" s="23" t="s">
        <v>100</v>
      </c>
    </row>
    <row r="6" spans="1:4" ht="15" customHeight="1" x14ac:dyDescent="0.3">
      <c r="A6" s="55" t="s">
        <v>101</v>
      </c>
      <c r="B6" s="54"/>
      <c r="C6" s="23" t="s">
        <v>102</v>
      </c>
    </row>
    <row r="7" spans="1:4" ht="15" customHeight="1" x14ac:dyDescent="0.3">
      <c r="A7" s="55" t="s">
        <v>103</v>
      </c>
      <c r="B7" s="54"/>
      <c r="C7" s="23" t="s">
        <v>104</v>
      </c>
    </row>
    <row r="8" spans="1:4" ht="15" customHeight="1" x14ac:dyDescent="0.3">
      <c r="A8" s="55" t="s">
        <v>105</v>
      </c>
      <c r="B8" s="54"/>
      <c r="C8" s="23" t="s">
        <v>106</v>
      </c>
    </row>
    <row r="10" spans="1:4" ht="18" customHeight="1" x14ac:dyDescent="0.3">
      <c r="A10" s="53" t="s">
        <v>107</v>
      </c>
      <c r="B10" s="54"/>
      <c r="C10" s="54"/>
      <c r="D10" s="54"/>
    </row>
    <row r="11" spans="1:4" ht="15" customHeight="1" x14ac:dyDescent="0.3">
      <c r="A11" s="55" t="s">
        <v>108</v>
      </c>
      <c r="B11" s="54"/>
      <c r="C11" s="23" t="s">
        <v>109</v>
      </c>
    </row>
    <row r="12" spans="1:4" ht="15" customHeight="1" x14ac:dyDescent="0.3">
      <c r="A12" s="55" t="s">
        <v>110</v>
      </c>
      <c r="B12" s="54"/>
      <c r="C12" s="23" t="s">
        <v>109</v>
      </c>
      <c r="D12" s="1" t="s">
        <v>111</v>
      </c>
    </row>
    <row r="13" spans="1:4" ht="15" customHeight="1" x14ac:dyDescent="0.3">
      <c r="A13" s="55" t="s">
        <v>112</v>
      </c>
      <c r="B13" s="54"/>
      <c r="C13" s="23" t="s">
        <v>113</v>
      </c>
      <c r="D13" s="1" t="s">
        <v>114</v>
      </c>
    </row>
    <row r="15" spans="1:4" ht="18" customHeight="1" x14ac:dyDescent="0.3">
      <c r="A15" s="53" t="s">
        <v>115</v>
      </c>
      <c r="B15" s="54"/>
      <c r="C15" s="54"/>
      <c r="D15" s="54"/>
    </row>
    <row r="16" spans="1:4" ht="15" customHeight="1" x14ac:dyDescent="0.3">
      <c r="A16" s="55" t="s">
        <v>116</v>
      </c>
      <c r="B16" s="54"/>
      <c r="C16" s="23" t="s">
        <v>117</v>
      </c>
    </row>
    <row r="17" spans="1:4" ht="15" customHeight="1" x14ac:dyDescent="0.3">
      <c r="A17" s="55" t="s">
        <v>118</v>
      </c>
      <c r="B17" s="54"/>
      <c r="C17" s="23" t="s">
        <v>119</v>
      </c>
    </row>
    <row r="18" spans="1:4" ht="15" customHeight="1" x14ac:dyDescent="0.3">
      <c r="A18" s="55" t="s">
        <v>49</v>
      </c>
      <c r="B18" s="54"/>
      <c r="C18" s="23" t="s">
        <v>120</v>
      </c>
    </row>
    <row r="19" spans="1:4" ht="15" customHeight="1" x14ac:dyDescent="0.3">
      <c r="A19" s="55" t="s">
        <v>121</v>
      </c>
      <c r="B19" s="54"/>
      <c r="C19" s="23" t="s">
        <v>122</v>
      </c>
    </row>
    <row r="20" spans="1:4" ht="15" customHeight="1" x14ac:dyDescent="0.3">
      <c r="A20" s="55" t="s">
        <v>123</v>
      </c>
      <c r="B20" s="54"/>
      <c r="C20" s="23" t="s">
        <v>122</v>
      </c>
    </row>
    <row r="21" spans="1:4" ht="15" customHeight="1" x14ac:dyDescent="0.3">
      <c r="A21" s="55" t="s">
        <v>124</v>
      </c>
      <c r="B21" s="54"/>
      <c r="C21" s="23" t="s">
        <v>122</v>
      </c>
    </row>
    <row r="23" spans="1:4" ht="18" customHeight="1" x14ac:dyDescent="0.3">
      <c r="A23" s="53" t="s">
        <v>125</v>
      </c>
      <c r="B23" s="54"/>
      <c r="C23" s="54"/>
      <c r="D23" s="54"/>
    </row>
    <row r="24" spans="1:4" ht="15" customHeight="1" x14ac:dyDescent="0.3">
      <c r="A24" s="55" t="s">
        <v>126</v>
      </c>
      <c r="B24" s="54"/>
      <c r="C24" s="23" t="s">
        <v>113</v>
      </c>
      <c r="D24" s="1" t="s">
        <v>127</v>
      </c>
    </row>
    <row r="25" spans="1:4" ht="15" customHeight="1" x14ac:dyDescent="0.3">
      <c r="A25" s="55" t="s">
        <v>128</v>
      </c>
      <c r="B25" s="54"/>
      <c r="C25" s="23" t="s">
        <v>122</v>
      </c>
      <c r="D25" s="1" t="s">
        <v>129</v>
      </c>
    </row>
    <row r="27" spans="1:4" ht="18" customHeight="1" x14ac:dyDescent="0.3">
      <c r="A27" s="53" t="s">
        <v>130</v>
      </c>
      <c r="B27" s="54"/>
      <c r="C27" s="54"/>
      <c r="D27" s="54"/>
    </row>
    <row r="28" spans="1:4" ht="15" customHeight="1" x14ac:dyDescent="0.3">
      <c r="A28" s="55" t="s">
        <v>131</v>
      </c>
      <c r="B28" s="54"/>
      <c r="C28" s="23" t="s">
        <v>113</v>
      </c>
      <c r="D28" s="1" t="s">
        <v>132</v>
      </c>
    </row>
    <row r="29" spans="1:4" ht="15" customHeight="1" x14ac:dyDescent="0.3">
      <c r="A29" s="55" t="s">
        <v>133</v>
      </c>
      <c r="B29" s="54"/>
      <c r="C29" s="23">
        <v>3</v>
      </c>
    </row>
  </sheetData>
  <mergeCells count="24">
    <mergeCell ref="A27:D27"/>
    <mergeCell ref="A29:B29"/>
    <mergeCell ref="A19:B19"/>
    <mergeCell ref="A3:D3"/>
    <mergeCell ref="A28:B28"/>
    <mergeCell ref="A13:B13"/>
    <mergeCell ref="A25:B25"/>
    <mergeCell ref="A15:D15"/>
    <mergeCell ref="A18:B18"/>
    <mergeCell ref="A12:B12"/>
    <mergeCell ref="A1:D1"/>
    <mergeCell ref="A21:B21"/>
    <mergeCell ref="A5:B5"/>
    <mergeCell ref="A17:B17"/>
    <mergeCell ref="A8:B8"/>
    <mergeCell ref="A4:B4"/>
    <mergeCell ref="A20:B20"/>
    <mergeCell ref="A23:D23"/>
    <mergeCell ref="A24:B24"/>
    <mergeCell ref="A11:B11"/>
    <mergeCell ref="A10:D10"/>
    <mergeCell ref="A6:B6"/>
    <mergeCell ref="A16:B16"/>
    <mergeCell ref="A7:B7"/>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Lists!$A$2:$A$14</xm:f>
          </x14:formula1>
          <x14:formula2>
            <xm:f>0</xm:f>
          </x14:formula2>
          <xm:sqref>C11:C12</xm:sqref>
        </x14:dataValidation>
        <x14:dataValidation type="list" allowBlank="1" xr:uid="{00000000-0002-0000-0200-000002000000}">
          <x14:formula1>
            <xm:f>Lists!$B$2:$B$4</xm:f>
          </x14:formula1>
          <x14:formula2>
            <xm:f>0</xm:f>
          </x14:formula2>
          <xm:sqref>C13 C28 C24:C25 C19:C21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H14"/>
  <sheetViews>
    <sheetView showGridLines="0" zoomScaleNormal="100" workbookViewId="0">
      <pane ySplit="4" topLeftCell="A5" activePane="bottomLeft" state="frozen"/>
      <selection pane="bottomLeft"/>
    </sheetView>
  </sheetViews>
  <sheetFormatPr defaultColWidth="8.6640625" defaultRowHeight="14.4" x14ac:dyDescent="0.3"/>
  <cols>
    <col min="1" max="1" width="20" customWidth="1"/>
    <col min="2" max="3" width="18" customWidth="1"/>
    <col min="4" max="5" width="12" customWidth="1"/>
    <col min="6" max="6" width="14" customWidth="1"/>
    <col min="7" max="7" width="18" customWidth="1"/>
    <col min="8" max="8" width="30" customWidth="1"/>
  </cols>
  <sheetData>
    <row r="1" spans="1:8" ht="25.5" customHeight="1" x14ac:dyDescent="0.3">
      <c r="A1" s="57" t="s">
        <v>134</v>
      </c>
      <c r="B1" s="54"/>
      <c r="C1" s="54"/>
      <c r="D1" s="54"/>
      <c r="E1" s="54"/>
      <c r="F1" s="54"/>
      <c r="G1" s="54"/>
      <c r="H1" s="54"/>
    </row>
    <row r="2" spans="1:8" ht="21.75" customHeight="1" x14ac:dyDescent="0.3">
      <c r="A2" s="64" t="s">
        <v>135</v>
      </c>
      <c r="B2" s="54"/>
      <c r="C2" s="54"/>
      <c r="D2" s="54"/>
      <c r="E2" s="54"/>
      <c r="F2" s="54"/>
      <c r="G2" s="54"/>
      <c r="H2" s="54"/>
    </row>
    <row r="4" spans="1:8" ht="30" customHeight="1" x14ac:dyDescent="0.3">
      <c r="A4" s="2" t="s">
        <v>136</v>
      </c>
      <c r="B4" s="2" t="s">
        <v>137</v>
      </c>
      <c r="C4" s="2" t="s">
        <v>138</v>
      </c>
      <c r="D4" s="2" t="s">
        <v>139</v>
      </c>
      <c r="E4" s="2" t="s">
        <v>140</v>
      </c>
      <c r="F4" s="2" t="s">
        <v>141</v>
      </c>
      <c r="G4" s="2" t="s">
        <v>142</v>
      </c>
      <c r="H4" s="2" t="s">
        <v>143</v>
      </c>
    </row>
    <row r="5" spans="1:8" ht="15" customHeight="1" x14ac:dyDescent="0.3">
      <c r="A5" s="24" t="s">
        <v>144</v>
      </c>
      <c r="B5" s="25">
        <v>850000</v>
      </c>
      <c r="C5" s="25">
        <v>420000</v>
      </c>
      <c r="D5" s="11">
        <f>B5/SUM($B$5:$B$6)</f>
        <v>0.70833333333333337</v>
      </c>
      <c r="E5" s="11">
        <f>C5/SUM($C$5:$C$6)</f>
        <v>0.7</v>
      </c>
      <c r="F5" s="11">
        <f t="shared" ref="F5:F12" si="0">AVERAGE(D5:E5)</f>
        <v>0.70416666666666661</v>
      </c>
      <c r="G5" s="13">
        <f>F5*'3. Income Statement'!$B$49</f>
        <v>200687.49999999997</v>
      </c>
      <c r="H5" s="26" t="s">
        <v>145</v>
      </c>
    </row>
    <row r="6" spans="1:8" ht="15" customHeight="1" x14ac:dyDescent="0.3">
      <c r="A6" s="24" t="s">
        <v>146</v>
      </c>
      <c r="B6" s="25">
        <v>350000</v>
      </c>
      <c r="C6" s="25">
        <v>180000</v>
      </c>
      <c r="D6" s="11">
        <f>B6/SUM($B$5:$B$6)</f>
        <v>0.29166666666666669</v>
      </c>
      <c r="E6" s="11">
        <f>C6/SUM($C$5:$C$6)</f>
        <v>0.3</v>
      </c>
      <c r="F6" s="11">
        <f t="shared" si="0"/>
        <v>0.29583333333333334</v>
      </c>
      <c r="G6" s="13">
        <f>F6*'3. Income Statement'!$B$49</f>
        <v>84312.5</v>
      </c>
      <c r="H6" s="26" t="s">
        <v>147</v>
      </c>
    </row>
    <row r="7" spans="1:8" ht="15" customHeight="1" x14ac:dyDescent="0.3">
      <c r="A7" s="23"/>
      <c r="B7" s="27"/>
      <c r="C7" s="27"/>
      <c r="D7" s="11">
        <f t="shared" ref="D7:D12" si="1">IF(SUM($B$7:$B$12)=0,0,B7/SUM($B$7:$B$12))</f>
        <v>0</v>
      </c>
      <c r="E7" s="11">
        <f t="shared" ref="E7:E12" si="2">IF(SUM($C$7:$C$12)=0,0,C7/SUM($C$7:$C$12))</f>
        <v>0</v>
      </c>
      <c r="F7" s="11">
        <f t="shared" si="0"/>
        <v>0</v>
      </c>
      <c r="G7" s="15">
        <f>F7*'3. Income Statement'!$B$49</f>
        <v>0</v>
      </c>
      <c r="H7" s="23"/>
    </row>
    <row r="8" spans="1:8" ht="15" customHeight="1" x14ac:dyDescent="0.3">
      <c r="A8" s="23"/>
      <c r="B8" s="27"/>
      <c r="C8" s="27"/>
      <c r="D8" s="11">
        <f t="shared" si="1"/>
        <v>0</v>
      </c>
      <c r="E8" s="11">
        <f t="shared" si="2"/>
        <v>0</v>
      </c>
      <c r="F8" s="11">
        <f t="shared" si="0"/>
        <v>0</v>
      </c>
      <c r="G8" s="15">
        <f>F8*'3. Income Statement'!$B$49</f>
        <v>0</v>
      </c>
      <c r="H8" s="23"/>
    </row>
    <row r="9" spans="1:8" ht="15" customHeight="1" x14ac:dyDescent="0.3">
      <c r="A9" s="23"/>
      <c r="B9" s="27"/>
      <c r="C9" s="27"/>
      <c r="D9" s="11">
        <f t="shared" si="1"/>
        <v>0</v>
      </c>
      <c r="E9" s="11">
        <f t="shared" si="2"/>
        <v>0</v>
      </c>
      <c r="F9" s="11">
        <f t="shared" si="0"/>
        <v>0</v>
      </c>
      <c r="G9" s="15">
        <f>F9*'3. Income Statement'!$B$49</f>
        <v>0</v>
      </c>
      <c r="H9" s="23"/>
    </row>
    <row r="10" spans="1:8" ht="15" customHeight="1" x14ac:dyDescent="0.3">
      <c r="A10" s="23"/>
      <c r="B10" s="27"/>
      <c r="C10" s="27"/>
      <c r="D10" s="11">
        <f t="shared" si="1"/>
        <v>0</v>
      </c>
      <c r="E10" s="11">
        <f t="shared" si="2"/>
        <v>0</v>
      </c>
      <c r="F10" s="11">
        <f t="shared" si="0"/>
        <v>0</v>
      </c>
      <c r="G10" s="15">
        <f>F10*'3. Income Statement'!$B$49</f>
        <v>0</v>
      </c>
      <c r="H10" s="23"/>
    </row>
    <row r="11" spans="1:8" ht="15" customHeight="1" x14ac:dyDescent="0.3">
      <c r="A11" s="23"/>
      <c r="B11" s="27"/>
      <c r="C11" s="27"/>
      <c r="D11" s="11">
        <f t="shared" si="1"/>
        <v>0</v>
      </c>
      <c r="E11" s="11">
        <f t="shared" si="2"/>
        <v>0</v>
      </c>
      <c r="F11" s="11">
        <f t="shared" si="0"/>
        <v>0</v>
      </c>
      <c r="G11" s="15">
        <f>F11*'3. Income Statement'!$B$49</f>
        <v>0</v>
      </c>
      <c r="H11" s="23"/>
    </row>
    <row r="12" spans="1:8" ht="15" customHeight="1" x14ac:dyDescent="0.3">
      <c r="A12" s="23"/>
      <c r="B12" s="27"/>
      <c r="C12" s="27"/>
      <c r="D12" s="11">
        <f t="shared" si="1"/>
        <v>0</v>
      </c>
      <c r="E12" s="11">
        <f t="shared" si="2"/>
        <v>0</v>
      </c>
      <c r="F12" s="11">
        <f t="shared" si="0"/>
        <v>0</v>
      </c>
      <c r="G12" s="15">
        <f>F12*'3. Income Statement'!$B$49</f>
        <v>0</v>
      </c>
      <c r="H12" s="23"/>
    </row>
    <row r="14" spans="1:8" ht="15" customHeight="1" x14ac:dyDescent="0.3">
      <c r="A14" s="16" t="s">
        <v>148</v>
      </c>
      <c r="B14" s="15">
        <f>SUM(B5:B12)</f>
        <v>1200000</v>
      </c>
      <c r="C14" s="15">
        <f>SUM(C5:C12)</f>
        <v>600000</v>
      </c>
      <c r="D14" s="10"/>
      <c r="E14" s="10"/>
      <c r="F14" s="11">
        <f>SUM(F5:F12)</f>
        <v>1</v>
      </c>
      <c r="G14" s="10"/>
      <c r="H14" s="26" t="s">
        <v>149</v>
      </c>
    </row>
  </sheetData>
  <mergeCells count="2">
    <mergeCell ref="A2:H2"/>
    <mergeCell ref="A1:H1"/>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Lists!$A$2:$A$14</xm:f>
          </x14:formula1>
          <x14:formula2>
            <xm:f>0</xm:f>
          </x14:formula2>
          <xm:sqref>A7:A12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D65"/>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3" width="26" customWidth="1"/>
    <col min="4" max="4" width="30" customWidth="1"/>
  </cols>
  <sheetData>
    <row r="1" spans="1:4" ht="25.5" customHeight="1" x14ac:dyDescent="0.3">
      <c r="A1" s="57" t="s">
        <v>150</v>
      </c>
      <c r="B1" s="54"/>
      <c r="C1" s="54"/>
      <c r="D1" s="54"/>
    </row>
    <row r="3" spans="1:4" ht="30" customHeight="1" x14ac:dyDescent="0.3">
      <c r="A3" s="2" t="s">
        <v>151</v>
      </c>
      <c r="B3" s="2" t="s">
        <v>152</v>
      </c>
      <c r="C3" s="2" t="s">
        <v>153</v>
      </c>
      <c r="D3" s="2" t="s">
        <v>143</v>
      </c>
    </row>
    <row r="4" spans="1:4" ht="18" customHeight="1" x14ac:dyDescent="0.3">
      <c r="A4" s="62" t="s">
        <v>154</v>
      </c>
      <c r="B4" s="61"/>
      <c r="C4" s="61"/>
      <c r="D4" s="61"/>
    </row>
    <row r="5" spans="1:4" ht="15" customHeight="1" x14ac:dyDescent="0.3">
      <c r="A5" s="24" t="s">
        <v>155</v>
      </c>
      <c r="B5" s="28">
        <v>850000</v>
      </c>
    </row>
    <row r="6" spans="1:4" ht="15" customHeight="1" x14ac:dyDescent="0.3">
      <c r="A6" s="24" t="s">
        <v>156</v>
      </c>
      <c r="B6" s="28">
        <v>350000</v>
      </c>
    </row>
    <row r="7" spans="1:4" ht="15" customHeight="1" x14ac:dyDescent="0.3">
      <c r="A7" s="65"/>
      <c r="B7" s="66"/>
    </row>
    <row r="8" spans="1:4" ht="15" customHeight="1" x14ac:dyDescent="0.3">
      <c r="A8" s="65"/>
      <c r="B8" s="66"/>
    </row>
    <row r="9" spans="1:4" ht="15" customHeight="1" x14ac:dyDescent="0.3">
      <c r="A9" s="16" t="s">
        <v>157</v>
      </c>
      <c r="B9" s="8">
        <f>SUM(B5:B8)</f>
        <v>1200000</v>
      </c>
    </row>
    <row r="10" spans="1:4" ht="15" customHeight="1" x14ac:dyDescent="0.3">
      <c r="A10" s="10"/>
      <c r="B10" s="10"/>
    </row>
    <row r="11" spans="1:4" ht="18" customHeight="1" x14ac:dyDescent="0.3">
      <c r="A11" s="62" t="s">
        <v>158</v>
      </c>
      <c r="B11" s="61"/>
      <c r="C11" s="61"/>
      <c r="D11" s="61"/>
    </row>
    <row r="12" spans="1:4" ht="15" customHeight="1" x14ac:dyDescent="0.3">
      <c r="A12" s="24" t="s">
        <v>159</v>
      </c>
      <c r="B12" s="28">
        <v>180000</v>
      </c>
    </row>
    <row r="13" spans="1:4" ht="15" customHeight="1" x14ac:dyDescent="0.3">
      <c r="A13" s="29"/>
      <c r="B13" s="23"/>
    </row>
    <row r="14" spans="1:4" ht="15" customHeight="1" x14ac:dyDescent="0.3">
      <c r="A14" s="16" t="s">
        <v>160</v>
      </c>
      <c r="B14" s="8">
        <f>SUM(B12:B13)</f>
        <v>180000</v>
      </c>
    </row>
    <row r="15" spans="1:4" ht="15" customHeight="1" x14ac:dyDescent="0.3">
      <c r="A15" s="16" t="s">
        <v>161</v>
      </c>
      <c r="B15" s="8">
        <f>B9-B14</f>
        <v>1020000</v>
      </c>
    </row>
    <row r="16" spans="1:4" ht="15" customHeight="1" x14ac:dyDescent="0.3">
      <c r="A16" s="10"/>
      <c r="B16" s="10"/>
    </row>
    <row r="17" spans="1:4" ht="18" customHeight="1" x14ac:dyDescent="0.3">
      <c r="A17" s="62" t="s">
        <v>162</v>
      </c>
      <c r="B17" s="61"/>
      <c r="C17" s="61"/>
      <c r="D17" s="61"/>
    </row>
    <row r="18" spans="1:4" ht="15" customHeight="1" x14ac:dyDescent="0.3">
      <c r="A18" s="24" t="s">
        <v>163</v>
      </c>
      <c r="B18" s="28">
        <v>600000</v>
      </c>
    </row>
    <row r="19" spans="1:4" ht="15" customHeight="1" x14ac:dyDescent="0.3">
      <c r="A19" s="24" t="s">
        <v>164</v>
      </c>
      <c r="B19" s="28">
        <v>60000</v>
      </c>
    </row>
    <row r="20" spans="1:4" ht="15" customHeight="1" x14ac:dyDescent="0.3">
      <c r="A20" s="24" t="s">
        <v>165</v>
      </c>
      <c r="B20" s="28">
        <v>25000</v>
      </c>
    </row>
    <row r="21" spans="1:4" ht="21.75" customHeight="1" x14ac:dyDescent="0.3">
      <c r="A21" s="24" t="s">
        <v>166</v>
      </c>
      <c r="B21" s="28">
        <v>8000</v>
      </c>
      <c r="D21" s="12" t="s">
        <v>167</v>
      </c>
    </row>
    <row r="22" spans="1:4" ht="15" customHeight="1" x14ac:dyDescent="0.3">
      <c r="A22" s="24" t="s">
        <v>168</v>
      </c>
      <c r="B22" s="28">
        <v>15000</v>
      </c>
    </row>
    <row r="23" spans="1:4" ht="15" customHeight="1" x14ac:dyDescent="0.3">
      <c r="A23" s="24" t="s">
        <v>169</v>
      </c>
      <c r="B23" s="28">
        <v>10000</v>
      </c>
    </row>
    <row r="24" spans="1:4" ht="21.75" customHeight="1" x14ac:dyDescent="0.3">
      <c r="A24" s="24" t="s">
        <v>170</v>
      </c>
      <c r="B24" s="28">
        <v>45000</v>
      </c>
      <c r="D24" s="12" t="s">
        <v>171</v>
      </c>
    </row>
    <row r="25" spans="1:4" ht="15" customHeight="1" x14ac:dyDescent="0.3">
      <c r="A25" s="24" t="s">
        <v>172</v>
      </c>
      <c r="B25" s="28">
        <v>30000</v>
      </c>
    </row>
    <row r="26" spans="1:4" ht="15" customHeight="1" x14ac:dyDescent="0.3">
      <c r="A26" s="24" t="s">
        <v>173</v>
      </c>
      <c r="B26" s="28">
        <v>20000</v>
      </c>
    </row>
    <row r="27" spans="1:4" ht="15" customHeight="1" x14ac:dyDescent="0.3">
      <c r="A27" s="24" t="s">
        <v>174</v>
      </c>
      <c r="B27" s="28">
        <v>12000</v>
      </c>
    </row>
    <row r="28" spans="1:4" ht="15" customHeight="1" x14ac:dyDescent="0.3">
      <c r="A28" s="24" t="s">
        <v>175</v>
      </c>
      <c r="B28" s="28">
        <v>5000</v>
      </c>
    </row>
    <row r="29" spans="1:4" ht="15" customHeight="1" x14ac:dyDescent="0.3">
      <c r="A29" s="29"/>
      <c r="B29" s="23"/>
    </row>
    <row r="30" spans="1:4" ht="15" customHeight="1" x14ac:dyDescent="0.3">
      <c r="A30" s="29"/>
      <c r="B30" s="23"/>
    </row>
    <row r="31" spans="1:4" ht="15" customHeight="1" x14ac:dyDescent="0.3">
      <c r="A31" s="16" t="s">
        <v>176</v>
      </c>
      <c r="B31" s="8">
        <f>SUM(B18:B30)</f>
        <v>830000</v>
      </c>
    </row>
    <row r="32" spans="1:4" ht="15" customHeight="1" x14ac:dyDescent="0.3">
      <c r="A32" s="16" t="s">
        <v>177</v>
      </c>
      <c r="B32" s="8">
        <f>B15-B31</f>
        <v>190000</v>
      </c>
    </row>
    <row r="33" spans="1:4" ht="15" customHeight="1" x14ac:dyDescent="0.3">
      <c r="A33" s="10"/>
      <c r="B33" s="10"/>
    </row>
    <row r="34" spans="1:4" ht="18" customHeight="1" x14ac:dyDescent="0.3">
      <c r="A34" s="62" t="s">
        <v>178</v>
      </c>
      <c r="B34" s="61"/>
      <c r="C34" s="61"/>
      <c r="D34" s="61"/>
    </row>
    <row r="35" spans="1:4" ht="15" customHeight="1" x14ac:dyDescent="0.3">
      <c r="A35" s="30" t="s">
        <v>179</v>
      </c>
      <c r="B35" s="28">
        <v>12000</v>
      </c>
      <c r="C35" s="3" t="s">
        <v>180</v>
      </c>
    </row>
    <row r="36" spans="1:4" ht="34.5" customHeight="1" x14ac:dyDescent="0.3">
      <c r="A36" s="30" t="s">
        <v>181</v>
      </c>
      <c r="B36" s="28">
        <v>40000</v>
      </c>
      <c r="C36" s="3" t="s">
        <v>531</v>
      </c>
      <c r="D36" s="12" t="s">
        <v>539</v>
      </c>
    </row>
    <row r="37" spans="1:4" ht="23.25" customHeight="1" x14ac:dyDescent="0.3">
      <c r="A37" s="30" t="s">
        <v>183</v>
      </c>
      <c r="B37" s="28">
        <v>15000</v>
      </c>
      <c r="C37" s="3" t="s">
        <v>180</v>
      </c>
      <c r="D37" s="12" t="s">
        <v>184</v>
      </c>
    </row>
    <row r="38" spans="1:4" ht="23.25" customHeight="1" x14ac:dyDescent="0.3">
      <c r="A38" s="30" t="s">
        <v>185</v>
      </c>
      <c r="B38" s="28">
        <v>20000</v>
      </c>
      <c r="C38" s="3" t="s">
        <v>180</v>
      </c>
      <c r="D38" s="12" t="s">
        <v>186</v>
      </c>
    </row>
    <row r="39" spans="1:4" ht="32.25" customHeight="1" x14ac:dyDescent="0.3">
      <c r="A39" s="30" t="s">
        <v>187</v>
      </c>
      <c r="B39" s="28">
        <v>8000</v>
      </c>
      <c r="C39" s="3" t="s">
        <v>180</v>
      </c>
      <c r="D39" s="12" t="s">
        <v>188</v>
      </c>
    </row>
    <row r="40" spans="1:4" ht="15" customHeight="1" x14ac:dyDescent="0.3">
      <c r="A40" s="30" t="s">
        <v>189</v>
      </c>
      <c r="B40" s="28">
        <v>0</v>
      </c>
      <c r="C40" s="3" t="s">
        <v>190</v>
      </c>
    </row>
    <row r="41" spans="1:4" ht="15" customHeight="1" x14ac:dyDescent="0.3">
      <c r="A41" s="29"/>
      <c r="B41" s="23"/>
      <c r="C41" s="23"/>
    </row>
    <row r="42" spans="1:4" ht="15" customHeight="1" x14ac:dyDescent="0.3">
      <c r="A42" s="29"/>
      <c r="B42" s="23"/>
      <c r="C42" s="23"/>
    </row>
    <row r="43" spans="1:4" ht="15" customHeight="1" x14ac:dyDescent="0.3">
      <c r="A43" s="16" t="s">
        <v>191</v>
      </c>
      <c r="B43" s="8">
        <f>SUM(B35:B42)</f>
        <v>95000</v>
      </c>
    </row>
    <row r="44" spans="1:4" ht="15" customHeight="1" x14ac:dyDescent="0.3">
      <c r="A44" s="17" t="s">
        <v>192</v>
      </c>
      <c r="B44" s="17">
        <f>B32+B43</f>
        <v>285000</v>
      </c>
      <c r="C44" s="19"/>
      <c r="D44" s="19"/>
    </row>
    <row r="45" spans="1:4" ht="15" customHeight="1" x14ac:dyDescent="0.3">
      <c r="A45" s="10"/>
      <c r="B45" s="10"/>
    </row>
    <row r="46" spans="1:4" ht="18" customHeight="1" x14ac:dyDescent="0.3">
      <c r="A46" s="62" t="s">
        <v>193</v>
      </c>
      <c r="B46" s="61"/>
      <c r="C46" s="61"/>
      <c r="D46" s="61"/>
    </row>
    <row r="47" spans="1:4" ht="15" customHeight="1" x14ac:dyDescent="0.3">
      <c r="A47" s="16" t="s">
        <v>194</v>
      </c>
      <c r="B47" s="8">
        <f>B32</f>
        <v>190000</v>
      </c>
    </row>
    <row r="48" spans="1:4" ht="15" customHeight="1" x14ac:dyDescent="0.3">
      <c r="A48" s="16" t="s">
        <v>195</v>
      </c>
      <c r="B48" s="8">
        <f>SUMIF(C35:C42,"Aggregate Investment Income",B35:B42)</f>
        <v>55000</v>
      </c>
    </row>
    <row r="49" spans="1:4" ht="15" customHeight="1" x14ac:dyDescent="0.3">
      <c r="A49" s="16" t="s">
        <v>196</v>
      </c>
      <c r="B49" s="8">
        <f>B44</f>
        <v>285000</v>
      </c>
    </row>
    <row r="51" spans="1:4" x14ac:dyDescent="0.3">
      <c r="A51" s="7" t="s">
        <v>197</v>
      </c>
      <c r="B51" s="52"/>
      <c r="C51" s="52"/>
      <c r="D51" s="52"/>
    </row>
    <row r="52" spans="1:4" x14ac:dyDescent="0.3">
      <c r="A52" s="16" t="s">
        <v>198</v>
      </c>
      <c r="B52" s="28">
        <v>20000</v>
      </c>
      <c r="D52" t="s">
        <v>199</v>
      </c>
    </row>
    <row r="53" spans="1:4" x14ac:dyDescent="0.3">
      <c r="A53" s="16" t="s">
        <v>200</v>
      </c>
      <c r="B53" s="28">
        <v>20000</v>
      </c>
      <c r="D53" t="s">
        <v>201</v>
      </c>
    </row>
    <row r="54" spans="1:4" x14ac:dyDescent="0.3">
      <c r="A54" s="16" t="s">
        <v>202</v>
      </c>
      <c r="B54" s="28">
        <v>15000</v>
      </c>
      <c r="D54" t="s">
        <v>203</v>
      </c>
    </row>
    <row r="55" spans="1:4" x14ac:dyDescent="0.3">
      <c r="A55" s="16" t="s">
        <v>204</v>
      </c>
      <c r="B55" s="28"/>
      <c r="D55" t="s">
        <v>205</v>
      </c>
    </row>
    <row r="56" spans="1:4" x14ac:dyDescent="0.3">
      <c r="A56" s="16" t="s">
        <v>206</v>
      </c>
      <c r="B56" s="28"/>
      <c r="D56" t="s">
        <v>207</v>
      </c>
    </row>
    <row r="57" spans="1:4" x14ac:dyDescent="0.3">
      <c r="A57" s="16" t="s">
        <v>208</v>
      </c>
      <c r="B57" s="28">
        <v>40000</v>
      </c>
      <c r="D57" t="s">
        <v>209</v>
      </c>
    </row>
    <row r="58" spans="1:4" x14ac:dyDescent="0.3">
      <c r="A58" s="16" t="s">
        <v>210</v>
      </c>
      <c r="B58" s="28"/>
      <c r="D58" t="s">
        <v>211</v>
      </c>
    </row>
    <row r="59" spans="1:4" x14ac:dyDescent="0.3">
      <c r="A59" s="16" t="s">
        <v>212</v>
      </c>
      <c r="B59" s="28">
        <v>15333.33</v>
      </c>
      <c r="D59" t="s">
        <v>213</v>
      </c>
    </row>
    <row r="60" spans="1:4" x14ac:dyDescent="0.3">
      <c r="A60" s="16" t="s">
        <v>214</v>
      </c>
      <c r="B60" s="28"/>
      <c r="D60" t="s">
        <v>215</v>
      </c>
    </row>
    <row r="62" spans="1:4" x14ac:dyDescent="0.3">
      <c r="A62" s="7" t="s">
        <v>216</v>
      </c>
      <c r="B62" s="52"/>
      <c r="C62" s="52"/>
      <c r="D62" s="52"/>
    </row>
    <row r="63" spans="1:4" x14ac:dyDescent="0.3">
      <c r="A63" s="16" t="s">
        <v>217</v>
      </c>
      <c r="B63" s="28"/>
      <c r="D63" t="s">
        <v>218</v>
      </c>
    </row>
    <row r="64" spans="1:4" x14ac:dyDescent="0.3">
      <c r="A64" s="16" t="s">
        <v>219</v>
      </c>
      <c r="B64" s="28"/>
      <c r="D64" t="s">
        <v>220</v>
      </c>
    </row>
    <row r="65" spans="1:4" x14ac:dyDescent="0.3">
      <c r="A65" s="16" t="s">
        <v>221</v>
      </c>
      <c r="B65" s="28"/>
      <c r="D65" t="s">
        <v>222</v>
      </c>
    </row>
  </sheetData>
  <mergeCells count="8">
    <mergeCell ref="A46:D46"/>
    <mergeCell ref="A1:D1"/>
    <mergeCell ref="A17:D17"/>
    <mergeCell ref="A7:B7"/>
    <mergeCell ref="A34:D34"/>
    <mergeCell ref="A4:D4"/>
    <mergeCell ref="A11:D11"/>
    <mergeCell ref="A8:B8"/>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Lists!$J$2:$J$5</xm:f>
          </x14:formula1>
          <x14:formula2>
            <xm:f>0</xm:f>
          </x14:formula2>
          <xm:sqref>C41:C42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D41"/>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3" width="34" customWidth="1"/>
    <col min="4" max="4" width="30" customWidth="1"/>
  </cols>
  <sheetData>
    <row r="1" spans="1:4" ht="25.5" customHeight="1" x14ac:dyDescent="0.3">
      <c r="A1" s="57" t="s">
        <v>223</v>
      </c>
      <c r="B1" s="54"/>
      <c r="C1" s="54"/>
      <c r="D1" s="54"/>
    </row>
    <row r="3" spans="1:4" ht="30" customHeight="1" x14ac:dyDescent="0.3">
      <c r="A3" s="2" t="s">
        <v>151</v>
      </c>
      <c r="B3" s="2" t="s">
        <v>152</v>
      </c>
      <c r="C3" s="2"/>
      <c r="D3" s="2" t="s">
        <v>143</v>
      </c>
    </row>
    <row r="4" spans="1:4" ht="18" customHeight="1" x14ac:dyDescent="0.3">
      <c r="A4" s="62" t="s">
        <v>224</v>
      </c>
      <c r="B4" s="61"/>
      <c r="C4" s="61"/>
      <c r="D4" s="61"/>
    </row>
    <row r="5" spans="1:4" ht="15" customHeight="1" x14ac:dyDescent="0.3">
      <c r="A5" s="24" t="s">
        <v>225</v>
      </c>
      <c r="B5" s="25">
        <v>145000</v>
      </c>
    </row>
    <row r="6" spans="1:4" ht="15" customHeight="1" x14ac:dyDescent="0.3">
      <c r="A6" s="24" t="s">
        <v>226</v>
      </c>
      <c r="B6" s="25">
        <v>210000</v>
      </c>
    </row>
    <row r="7" spans="1:4" ht="15" customHeight="1" x14ac:dyDescent="0.3">
      <c r="A7" s="24" t="s">
        <v>227</v>
      </c>
      <c r="B7" s="25">
        <v>0</v>
      </c>
    </row>
    <row r="8" spans="1:4" ht="15" customHeight="1" x14ac:dyDescent="0.3">
      <c r="A8" s="24" t="s">
        <v>228</v>
      </c>
      <c r="B8" s="25">
        <v>15000</v>
      </c>
    </row>
    <row r="9" spans="1:4" ht="32.25" customHeight="1" x14ac:dyDescent="0.3">
      <c r="A9" s="24" t="s">
        <v>229</v>
      </c>
      <c r="B9" s="25">
        <v>380000</v>
      </c>
      <c r="D9" s="12" t="s">
        <v>230</v>
      </c>
    </row>
    <row r="10" spans="1:4" ht="32.25" customHeight="1" x14ac:dyDescent="0.3">
      <c r="A10" s="24" t="s">
        <v>231</v>
      </c>
      <c r="B10" s="25">
        <v>260000</v>
      </c>
      <c r="D10" s="12" t="s">
        <v>232</v>
      </c>
    </row>
    <row r="11" spans="1:4" ht="15" customHeight="1" x14ac:dyDescent="0.3">
      <c r="A11" s="24" t="s">
        <v>233</v>
      </c>
      <c r="B11" s="25">
        <v>100000</v>
      </c>
      <c r="D11" s="12" t="s">
        <v>234</v>
      </c>
    </row>
    <row r="12" spans="1:4" ht="15" customHeight="1" x14ac:dyDescent="0.3">
      <c r="A12" s="24" t="s">
        <v>235</v>
      </c>
      <c r="B12" s="25">
        <v>35000</v>
      </c>
      <c r="D12" s="12" t="s">
        <v>236</v>
      </c>
    </row>
    <row r="13" spans="1:4" ht="15" customHeight="1" x14ac:dyDescent="0.3">
      <c r="A13" s="29"/>
      <c r="B13" s="27"/>
    </row>
    <row r="14" spans="1:4" ht="15" customHeight="1" x14ac:dyDescent="0.3">
      <c r="A14" s="29"/>
      <c r="B14" s="27"/>
    </row>
    <row r="15" spans="1:4" ht="15" customHeight="1" x14ac:dyDescent="0.3">
      <c r="A15" s="16" t="s">
        <v>237</v>
      </c>
      <c r="B15" s="15">
        <f>SUM(B5:B14)</f>
        <v>1145000</v>
      </c>
    </row>
    <row r="16" spans="1:4" ht="15" customHeight="1" x14ac:dyDescent="0.3">
      <c r="A16" s="10"/>
      <c r="B16" s="31"/>
    </row>
    <row r="17" spans="1:4" ht="18" customHeight="1" x14ac:dyDescent="0.3">
      <c r="A17" s="62" t="s">
        <v>238</v>
      </c>
      <c r="B17" s="61"/>
      <c r="C17" s="61"/>
      <c r="D17" s="61"/>
    </row>
    <row r="18" spans="1:4" ht="15" customHeight="1" x14ac:dyDescent="0.3">
      <c r="A18" s="24" t="s">
        <v>239</v>
      </c>
      <c r="B18" s="25">
        <v>95000</v>
      </c>
    </row>
    <row r="19" spans="1:4" ht="15" customHeight="1" x14ac:dyDescent="0.3">
      <c r="A19" s="24" t="s">
        <v>240</v>
      </c>
      <c r="B19" s="25">
        <v>12000</v>
      </c>
      <c r="D19" s="12" t="s">
        <v>241</v>
      </c>
    </row>
    <row r="20" spans="1:4" ht="15" customHeight="1" x14ac:dyDescent="0.3">
      <c r="A20" s="24" t="s">
        <v>242</v>
      </c>
      <c r="B20" s="25">
        <v>40000</v>
      </c>
    </row>
    <row r="21" spans="1:4" ht="32.25" customHeight="1" x14ac:dyDescent="0.3">
      <c r="A21" s="24" t="s">
        <v>243</v>
      </c>
      <c r="B21" s="25">
        <v>25000</v>
      </c>
      <c r="D21" s="12" t="s">
        <v>244</v>
      </c>
    </row>
    <row r="22" spans="1:4" ht="15" customHeight="1" x14ac:dyDescent="0.3">
      <c r="A22" s="24" t="s">
        <v>245</v>
      </c>
      <c r="B22" s="25">
        <v>30000</v>
      </c>
    </row>
    <row r="23" spans="1:4" ht="15" customHeight="1" x14ac:dyDescent="0.3">
      <c r="A23" s="24" t="s">
        <v>246</v>
      </c>
      <c r="B23" s="25">
        <v>150000</v>
      </c>
    </row>
    <row r="24" spans="1:4" ht="15" customHeight="1" x14ac:dyDescent="0.3">
      <c r="A24" s="24" t="s">
        <v>247</v>
      </c>
      <c r="B24" s="25">
        <v>20000</v>
      </c>
    </row>
    <row r="25" spans="1:4" ht="15" customHeight="1" x14ac:dyDescent="0.3">
      <c r="A25" s="29"/>
      <c r="B25" s="27"/>
    </row>
    <row r="26" spans="1:4" ht="15" customHeight="1" x14ac:dyDescent="0.3">
      <c r="A26" s="29"/>
      <c r="B26" s="27"/>
    </row>
    <row r="27" spans="1:4" ht="15" customHeight="1" x14ac:dyDescent="0.3">
      <c r="A27" s="16" t="s">
        <v>248</v>
      </c>
      <c r="B27" s="15">
        <f>SUM(B18:B26)</f>
        <v>372000</v>
      </c>
    </row>
    <row r="28" spans="1:4" ht="15" customHeight="1" x14ac:dyDescent="0.3">
      <c r="A28" s="10"/>
      <c r="B28" s="31"/>
    </row>
    <row r="29" spans="1:4" ht="18" customHeight="1" x14ac:dyDescent="0.3">
      <c r="A29" s="62" t="s">
        <v>249</v>
      </c>
      <c r="B29" s="61"/>
      <c r="C29" s="61"/>
      <c r="D29" s="61"/>
    </row>
    <row r="30" spans="1:4" ht="15" customHeight="1" x14ac:dyDescent="0.3">
      <c r="A30" s="24" t="s">
        <v>250</v>
      </c>
      <c r="B30" s="25">
        <v>100</v>
      </c>
    </row>
    <row r="31" spans="1:4" ht="15" customHeight="1" x14ac:dyDescent="0.3">
      <c r="A31" s="24" t="s">
        <v>251</v>
      </c>
      <c r="B31" s="25">
        <v>90000</v>
      </c>
    </row>
    <row r="32" spans="1:4" ht="15" customHeight="1" x14ac:dyDescent="0.3">
      <c r="A32" s="24" t="s">
        <v>252</v>
      </c>
      <c r="B32" s="25">
        <v>397900</v>
      </c>
    </row>
    <row r="33" spans="1:4" ht="15" customHeight="1" x14ac:dyDescent="0.3">
      <c r="A33" s="24" t="s">
        <v>253</v>
      </c>
      <c r="B33" s="13">
        <f>'3. Income Statement'!B49</f>
        <v>285000</v>
      </c>
    </row>
    <row r="34" spans="1:4" ht="15" customHeight="1" x14ac:dyDescent="0.3">
      <c r="A34" s="16" t="s">
        <v>254</v>
      </c>
      <c r="B34" s="15">
        <f>SUM(B30:B33)</f>
        <v>773000</v>
      </c>
    </row>
    <row r="35" spans="1:4" ht="15" customHeight="1" x14ac:dyDescent="0.3">
      <c r="A35" s="10"/>
      <c r="B35" s="31"/>
    </row>
    <row r="36" spans="1:4" ht="15" customHeight="1" x14ac:dyDescent="0.3">
      <c r="A36" s="16" t="s">
        <v>255</v>
      </c>
      <c r="B36" s="15">
        <f>B27+B34</f>
        <v>1145000</v>
      </c>
    </row>
    <row r="37" spans="1:4" ht="15" customHeight="1" x14ac:dyDescent="0.3">
      <c r="A37" s="16" t="s">
        <v>256</v>
      </c>
      <c r="B37" s="15">
        <f>B15-(B27+B34)</f>
        <v>0</v>
      </c>
    </row>
    <row r="38" spans="1:4" ht="15" customHeight="1" x14ac:dyDescent="0.3">
      <c r="A38" s="10"/>
      <c r="B38" s="31"/>
    </row>
    <row r="39" spans="1:4" ht="18" customHeight="1" x14ac:dyDescent="0.3">
      <c r="A39" s="62" t="s">
        <v>257</v>
      </c>
      <c r="B39" s="61"/>
      <c r="C39" s="61"/>
      <c r="D39" s="61"/>
    </row>
    <row r="40" spans="1:4" ht="63.75" customHeight="1" x14ac:dyDescent="0.3">
      <c r="A40" s="26" t="s">
        <v>258</v>
      </c>
      <c r="B40" s="31"/>
      <c r="D40" s="12" t="s">
        <v>259</v>
      </c>
    </row>
    <row r="41" spans="1:4" ht="42.75" customHeight="1" x14ac:dyDescent="0.3">
      <c r="A41" s="16" t="s">
        <v>260</v>
      </c>
      <c r="B41" s="15">
        <f>B15</f>
        <v>1145000</v>
      </c>
      <c r="D41" s="12" t="s">
        <v>261</v>
      </c>
    </row>
  </sheetData>
  <mergeCells count="5">
    <mergeCell ref="A1:D1"/>
    <mergeCell ref="A17:D17"/>
    <mergeCell ref="A4:D4"/>
    <mergeCell ref="A39:D39"/>
    <mergeCell ref="A29:D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D30"/>
  <sheetViews>
    <sheetView showGridLines="0" zoomScaleNormal="100" workbookViewId="0">
      <pane ySplit="3" topLeftCell="A4" activePane="bottomLeft" state="frozen"/>
      <selection pane="bottomLeft"/>
    </sheetView>
  </sheetViews>
  <sheetFormatPr defaultColWidth="8.6640625" defaultRowHeight="14.4" x14ac:dyDescent="0.3"/>
  <cols>
    <col min="1" max="1" width="32" customWidth="1"/>
    <col min="2" max="2" width="18" customWidth="1"/>
    <col min="3" max="3" width="30" customWidth="1"/>
    <col min="4" max="4" width="34" customWidth="1"/>
  </cols>
  <sheetData>
    <row r="1" spans="1:4" ht="25.5" customHeight="1" x14ac:dyDescent="0.3">
      <c r="A1" s="57" t="s">
        <v>262</v>
      </c>
      <c r="B1" s="54"/>
      <c r="C1" s="54"/>
      <c r="D1" s="54"/>
    </row>
    <row r="2" spans="1:4" ht="21.75" customHeight="1" x14ac:dyDescent="0.3">
      <c r="A2" s="56" t="s">
        <v>263</v>
      </c>
      <c r="B2" s="54"/>
      <c r="C2" s="54"/>
      <c r="D2" s="54"/>
    </row>
    <row r="4" spans="1:4" ht="18" customHeight="1" x14ac:dyDescent="0.3">
      <c r="A4" s="62" t="s">
        <v>264</v>
      </c>
      <c r="B4" s="61"/>
      <c r="C4" s="61"/>
      <c r="D4" s="61"/>
    </row>
    <row r="5" spans="1:4" ht="15" customHeight="1" x14ac:dyDescent="0.3">
      <c r="A5" s="67" t="s">
        <v>265</v>
      </c>
      <c r="B5" s="66"/>
      <c r="C5" s="27">
        <v>18500</v>
      </c>
      <c r="D5" s="1" t="s">
        <v>266</v>
      </c>
    </row>
    <row r="6" spans="1:4" ht="15" customHeight="1" x14ac:dyDescent="0.3">
      <c r="A6" s="67" t="s">
        <v>78</v>
      </c>
      <c r="B6" s="66"/>
      <c r="C6" s="27">
        <v>42300</v>
      </c>
      <c r="D6" s="1" t="s">
        <v>267</v>
      </c>
    </row>
    <row r="7" spans="1:4" ht="15" customHeight="1" x14ac:dyDescent="0.3">
      <c r="A7" s="10"/>
      <c r="B7" s="10"/>
      <c r="C7" s="10"/>
    </row>
    <row r="8" spans="1:4" ht="18" customHeight="1" x14ac:dyDescent="0.3">
      <c r="A8" s="62" t="s">
        <v>268</v>
      </c>
      <c r="B8" s="61"/>
      <c r="C8" s="61"/>
      <c r="D8" s="61"/>
    </row>
    <row r="9" spans="1:4" ht="15" customHeight="1" x14ac:dyDescent="0.3">
      <c r="A9" s="67" t="s">
        <v>269</v>
      </c>
      <c r="B9" s="66"/>
      <c r="C9" s="27">
        <v>65000</v>
      </c>
      <c r="D9" s="1" t="s">
        <v>270</v>
      </c>
    </row>
    <row r="10" spans="1:4" ht="15" customHeight="1" x14ac:dyDescent="0.3">
      <c r="A10" s="10"/>
      <c r="B10" s="10"/>
      <c r="C10" s="10"/>
    </row>
    <row r="11" spans="1:4" ht="18" customHeight="1" x14ac:dyDescent="0.3">
      <c r="A11" s="62" t="s">
        <v>271</v>
      </c>
      <c r="B11" s="61"/>
      <c r="C11" s="61"/>
      <c r="D11" s="61"/>
    </row>
    <row r="12" spans="1:4" ht="15" customHeight="1" x14ac:dyDescent="0.3">
      <c r="A12" s="67" t="s">
        <v>272</v>
      </c>
      <c r="B12" s="66"/>
      <c r="C12" s="27">
        <v>22000</v>
      </c>
      <c r="D12" s="1" t="s">
        <v>273</v>
      </c>
    </row>
    <row r="13" spans="1:4" ht="15" customHeight="1" x14ac:dyDescent="0.3">
      <c r="A13" s="10"/>
      <c r="B13" s="10"/>
      <c r="C13" s="10"/>
    </row>
    <row r="14" spans="1:4" ht="18" customHeight="1" x14ac:dyDescent="0.3">
      <c r="A14" s="62" t="s">
        <v>274</v>
      </c>
      <c r="B14" s="61"/>
      <c r="C14" s="61"/>
      <c r="D14" s="61"/>
    </row>
    <row r="15" spans="1:4" ht="30" customHeight="1" x14ac:dyDescent="0.3">
      <c r="A15" s="2" t="s">
        <v>275</v>
      </c>
      <c r="B15" s="2" t="s">
        <v>152</v>
      </c>
      <c r="C15" s="2" t="s">
        <v>276</v>
      </c>
      <c r="D15" s="2" t="s">
        <v>143</v>
      </c>
    </row>
    <row r="16" spans="1:4" ht="15" customHeight="1" x14ac:dyDescent="0.3">
      <c r="A16" s="24">
        <v>2022</v>
      </c>
      <c r="B16" s="28">
        <v>15000</v>
      </c>
      <c r="C16" s="8">
        <f>A16+20</f>
        <v>2042</v>
      </c>
    </row>
    <row r="17" spans="1:4" ht="15" customHeight="1" x14ac:dyDescent="0.3">
      <c r="A17" s="23">
        <v>2023</v>
      </c>
      <c r="B17" s="23">
        <v>8000</v>
      </c>
      <c r="C17" s="8">
        <f>IF(A17=0,0,A17+20)</f>
        <v>2043</v>
      </c>
    </row>
    <row r="18" spans="1:4" ht="15" customHeight="1" x14ac:dyDescent="0.3">
      <c r="A18" s="23"/>
      <c r="B18" s="23"/>
      <c r="C18" s="8">
        <f>IF(A18=0,0,A18+20)</f>
        <v>0</v>
      </c>
    </row>
    <row r="19" spans="1:4" ht="15" customHeight="1" x14ac:dyDescent="0.3">
      <c r="A19" s="23"/>
      <c r="B19" s="23"/>
      <c r="C19" s="8">
        <f>IF(A19=0,0,A19+20)</f>
        <v>0</v>
      </c>
    </row>
    <row r="20" spans="1:4" ht="15" customHeight="1" x14ac:dyDescent="0.3">
      <c r="A20" s="10"/>
      <c r="B20" s="10"/>
      <c r="C20" s="10"/>
    </row>
    <row r="21" spans="1:4" ht="18" customHeight="1" x14ac:dyDescent="0.3">
      <c r="A21" s="62" t="s">
        <v>277</v>
      </c>
      <c r="B21" s="61"/>
      <c r="C21" s="61"/>
      <c r="D21" s="61"/>
    </row>
    <row r="22" spans="1:4" ht="30" customHeight="1" x14ac:dyDescent="0.3">
      <c r="A22" s="2" t="s">
        <v>275</v>
      </c>
      <c r="B22" s="2" t="s">
        <v>152</v>
      </c>
      <c r="C22" s="2"/>
      <c r="D22" s="2" t="s">
        <v>143</v>
      </c>
    </row>
    <row r="23" spans="1:4" ht="15" customHeight="1" x14ac:dyDescent="0.3">
      <c r="A23" s="23">
        <v>2021</v>
      </c>
      <c r="B23" s="23">
        <v>5000</v>
      </c>
      <c r="C23" s="10"/>
    </row>
    <row r="24" spans="1:4" ht="15" customHeight="1" x14ac:dyDescent="0.3">
      <c r="A24" s="23"/>
      <c r="B24" s="23"/>
      <c r="C24" s="10"/>
    </row>
    <row r="25" spans="1:4" ht="15" customHeight="1" x14ac:dyDescent="0.3">
      <c r="A25" s="10"/>
      <c r="B25" s="10"/>
      <c r="C25" s="10"/>
    </row>
    <row r="26" spans="1:4" ht="18" customHeight="1" x14ac:dyDescent="0.3">
      <c r="A26" s="62" t="s">
        <v>278</v>
      </c>
      <c r="B26" s="61"/>
      <c r="C26" s="61"/>
      <c r="D26" s="61"/>
    </row>
    <row r="27" spans="1:4" ht="15" customHeight="1" x14ac:dyDescent="0.3">
      <c r="A27" s="67" t="s">
        <v>279</v>
      </c>
      <c r="B27" s="66"/>
      <c r="C27" s="27">
        <v>0</v>
      </c>
      <c r="D27" s="1" t="s">
        <v>280</v>
      </c>
    </row>
    <row r="28" spans="1:4" ht="15" customHeight="1" x14ac:dyDescent="0.3">
      <c r="A28" s="67" t="s">
        <v>281</v>
      </c>
      <c r="B28" s="66"/>
      <c r="C28" s="27">
        <v>0</v>
      </c>
    </row>
    <row r="30" spans="1:4" x14ac:dyDescent="0.3">
      <c r="A30" s="8" t="s">
        <v>282</v>
      </c>
      <c r="C30" s="27"/>
      <c r="D30" s="1" t="s">
        <v>283</v>
      </c>
    </row>
  </sheetData>
  <mergeCells count="14">
    <mergeCell ref="A28:B28"/>
    <mergeCell ref="A2:D2"/>
    <mergeCell ref="A11:D11"/>
    <mergeCell ref="A9:B9"/>
    <mergeCell ref="A27:B27"/>
    <mergeCell ref="A6:B6"/>
    <mergeCell ref="A14:D14"/>
    <mergeCell ref="A12:B12"/>
    <mergeCell ref="A1:D1"/>
    <mergeCell ref="A8:D8"/>
    <mergeCell ref="A4:D4"/>
    <mergeCell ref="A26:D26"/>
    <mergeCell ref="A21:D21"/>
    <mergeCell ref="A5:B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17"/>
  <sheetViews>
    <sheetView showGridLines="0" zoomScaleNormal="100" workbookViewId="0">
      <pane ySplit="3" topLeftCell="A4" activePane="bottomLeft" state="frozen"/>
      <selection pane="bottomLeft"/>
    </sheetView>
  </sheetViews>
  <sheetFormatPr defaultColWidth="8.6640625" defaultRowHeight="14.4" x14ac:dyDescent="0.3"/>
  <cols>
    <col min="1" max="1" width="26" customWidth="1"/>
    <col min="2" max="2" width="15" customWidth="1"/>
    <col min="3" max="4" width="13" customWidth="1"/>
    <col min="5" max="6" width="15" customWidth="1"/>
    <col min="7" max="7" width="10" customWidth="1"/>
    <col min="8" max="8" width="12" customWidth="1"/>
    <col min="9" max="9" width="14" customWidth="1"/>
    <col min="10" max="10" width="30" customWidth="1"/>
  </cols>
  <sheetData>
    <row r="1" spans="1:10" ht="25.5" customHeight="1" x14ac:dyDescent="0.3">
      <c r="A1" s="57" t="s">
        <v>284</v>
      </c>
      <c r="B1" s="54"/>
      <c r="C1" s="54"/>
      <c r="D1" s="54"/>
      <c r="E1" s="54"/>
      <c r="F1" s="54"/>
      <c r="G1" s="54"/>
      <c r="H1" s="54"/>
      <c r="I1" s="54"/>
      <c r="J1" s="54"/>
    </row>
    <row r="3" spans="1:10" ht="30" customHeight="1" x14ac:dyDescent="0.3">
      <c r="A3" s="2" t="s">
        <v>285</v>
      </c>
      <c r="B3" s="2" t="s">
        <v>286</v>
      </c>
      <c r="C3" s="2" t="s">
        <v>287</v>
      </c>
      <c r="D3" s="2" t="s">
        <v>288</v>
      </c>
      <c r="E3" s="2" t="s">
        <v>289</v>
      </c>
      <c r="F3" s="2" t="s">
        <v>290</v>
      </c>
      <c r="G3" s="2" t="s">
        <v>291</v>
      </c>
      <c r="H3" s="2" t="s">
        <v>292</v>
      </c>
      <c r="I3" s="2" t="s">
        <v>293</v>
      </c>
      <c r="J3" s="2" t="s">
        <v>143</v>
      </c>
    </row>
    <row r="4" spans="1:10" ht="21.75" customHeight="1" x14ac:dyDescent="0.3">
      <c r="A4" s="32" t="s">
        <v>294</v>
      </c>
      <c r="B4" s="3">
        <v>180000</v>
      </c>
      <c r="C4" s="3">
        <v>0</v>
      </c>
      <c r="D4" s="3" t="s">
        <v>122</v>
      </c>
      <c r="E4" s="3">
        <v>0</v>
      </c>
      <c r="F4" s="4">
        <f t="shared" ref="F4:F12" si="0">B4+C4-E4-IF(D4="Yes",0,C4*0.5)</f>
        <v>180000</v>
      </c>
      <c r="G4" s="33">
        <v>0.04</v>
      </c>
      <c r="H4" s="4">
        <f t="shared" ref="H4:H12" si="1">MIN(F4*G4, B4+C4-E4)</f>
        <v>7200</v>
      </c>
      <c r="I4" s="4">
        <f t="shared" ref="I4:I12" si="2">B4+C4-E4-H4</f>
        <v>172800</v>
      </c>
      <c r="J4" s="12" t="s">
        <v>295</v>
      </c>
    </row>
    <row r="5" spans="1:10" ht="15" customHeight="1" x14ac:dyDescent="0.3">
      <c r="A5" s="32" t="s">
        <v>296</v>
      </c>
      <c r="B5" s="3">
        <v>45000</v>
      </c>
      <c r="C5" s="3">
        <v>12000</v>
      </c>
      <c r="D5" s="3" t="s">
        <v>122</v>
      </c>
      <c r="E5" s="3">
        <v>0</v>
      </c>
      <c r="F5" s="4">
        <f t="shared" si="0"/>
        <v>51000</v>
      </c>
      <c r="G5" s="33">
        <v>0.2</v>
      </c>
      <c r="H5" s="4">
        <f t="shared" si="1"/>
        <v>10200</v>
      </c>
      <c r="I5" s="4">
        <f t="shared" si="2"/>
        <v>46800</v>
      </c>
      <c r="J5" s="12" t="s">
        <v>297</v>
      </c>
    </row>
    <row r="6" spans="1:10" ht="15" customHeight="1" x14ac:dyDescent="0.3">
      <c r="A6" s="32" t="s">
        <v>298</v>
      </c>
      <c r="B6" s="3">
        <v>22000</v>
      </c>
      <c r="C6" s="3">
        <v>0</v>
      </c>
      <c r="D6" s="3" t="s">
        <v>122</v>
      </c>
      <c r="E6" s="3">
        <v>0</v>
      </c>
      <c r="F6" s="4">
        <f t="shared" si="0"/>
        <v>22000</v>
      </c>
      <c r="G6" s="33">
        <v>0.3</v>
      </c>
      <c r="H6" s="4">
        <f t="shared" si="1"/>
        <v>6600</v>
      </c>
      <c r="I6" s="4">
        <f t="shared" si="2"/>
        <v>15400</v>
      </c>
      <c r="J6" s="12"/>
    </row>
    <row r="7" spans="1:10" ht="32.25" customHeight="1" x14ac:dyDescent="0.3">
      <c r="A7" s="32" t="s">
        <v>299</v>
      </c>
      <c r="B7" s="3">
        <v>8000</v>
      </c>
      <c r="C7" s="3">
        <v>15000</v>
      </c>
      <c r="D7" s="3" t="s">
        <v>113</v>
      </c>
      <c r="E7" s="3">
        <v>0</v>
      </c>
      <c r="F7" s="4">
        <f t="shared" si="0"/>
        <v>23000</v>
      </c>
      <c r="G7" s="33">
        <v>0.55000000000000004</v>
      </c>
      <c r="H7" s="4">
        <f t="shared" si="1"/>
        <v>12650.000000000002</v>
      </c>
      <c r="I7" s="4">
        <f t="shared" si="2"/>
        <v>10349.999999999998</v>
      </c>
      <c r="J7" s="12" t="s">
        <v>300</v>
      </c>
    </row>
    <row r="8" spans="1:10" ht="15" customHeight="1" x14ac:dyDescent="0.3">
      <c r="A8" s="32" t="s">
        <v>301</v>
      </c>
      <c r="B8" s="3">
        <v>5000</v>
      </c>
      <c r="C8" s="3">
        <v>0</v>
      </c>
      <c r="D8" s="3" t="s">
        <v>122</v>
      </c>
      <c r="E8" s="3">
        <v>0</v>
      </c>
      <c r="F8" s="4">
        <f t="shared" si="0"/>
        <v>5000</v>
      </c>
      <c r="G8" s="33">
        <v>0.05</v>
      </c>
      <c r="H8" s="4">
        <f t="shared" si="1"/>
        <v>250</v>
      </c>
      <c r="I8" s="4">
        <f t="shared" si="2"/>
        <v>4750</v>
      </c>
      <c r="J8" s="12" t="s">
        <v>302</v>
      </c>
    </row>
    <row r="9" spans="1:10" ht="15" customHeight="1" x14ac:dyDescent="0.3">
      <c r="A9" s="23"/>
      <c r="B9" s="27"/>
      <c r="C9" s="27"/>
      <c r="D9" s="23"/>
      <c r="E9" s="27"/>
      <c r="F9" s="15">
        <f t="shared" si="0"/>
        <v>0</v>
      </c>
      <c r="G9" s="34"/>
      <c r="H9" s="15">
        <f t="shared" si="1"/>
        <v>0</v>
      </c>
      <c r="I9" s="15">
        <f t="shared" si="2"/>
        <v>0</v>
      </c>
      <c r="J9" s="23"/>
    </row>
    <row r="10" spans="1:10" ht="15" customHeight="1" x14ac:dyDescent="0.3">
      <c r="A10" s="23"/>
      <c r="B10" s="27"/>
      <c r="C10" s="27"/>
      <c r="D10" s="23"/>
      <c r="E10" s="27"/>
      <c r="F10" s="15">
        <f t="shared" si="0"/>
        <v>0</v>
      </c>
      <c r="G10" s="34"/>
      <c r="H10" s="15">
        <f t="shared" si="1"/>
        <v>0</v>
      </c>
      <c r="I10" s="15">
        <f t="shared" si="2"/>
        <v>0</v>
      </c>
      <c r="J10" s="23"/>
    </row>
    <row r="11" spans="1:10" ht="15" customHeight="1" x14ac:dyDescent="0.3">
      <c r="A11" s="23"/>
      <c r="B11" s="27"/>
      <c r="C11" s="27"/>
      <c r="D11" s="23"/>
      <c r="E11" s="27"/>
      <c r="F11" s="15">
        <f t="shared" si="0"/>
        <v>0</v>
      </c>
      <c r="G11" s="34"/>
      <c r="H11" s="15">
        <f t="shared" si="1"/>
        <v>0</v>
      </c>
      <c r="I11" s="15">
        <f t="shared" si="2"/>
        <v>0</v>
      </c>
      <c r="J11" s="23"/>
    </row>
    <row r="12" spans="1:10" ht="15" customHeight="1" x14ac:dyDescent="0.3">
      <c r="A12" s="23"/>
      <c r="B12" s="27"/>
      <c r="C12" s="27"/>
      <c r="D12" s="23"/>
      <c r="E12" s="27"/>
      <c r="F12" s="15">
        <f t="shared" si="0"/>
        <v>0</v>
      </c>
      <c r="G12" s="34"/>
      <c r="H12" s="15">
        <f t="shared" si="1"/>
        <v>0</v>
      </c>
      <c r="I12" s="15">
        <f t="shared" si="2"/>
        <v>0</v>
      </c>
      <c r="J12" s="23"/>
    </row>
    <row r="13" spans="1:10" ht="15" customHeight="1" x14ac:dyDescent="0.3">
      <c r="A13" s="16" t="s">
        <v>148</v>
      </c>
      <c r="B13" s="15">
        <f>SUM(B4:B12)</f>
        <v>260000</v>
      </c>
      <c r="C13" s="15">
        <f>SUM(C4:C12)</f>
        <v>27000</v>
      </c>
      <c r="D13" s="10"/>
      <c r="E13" s="15">
        <f>SUM(E4:E12)</f>
        <v>0</v>
      </c>
      <c r="F13" s="10"/>
      <c r="G13" s="10"/>
      <c r="H13" s="15">
        <f>SUM(H4:H12)</f>
        <v>36900</v>
      </c>
      <c r="I13" s="15">
        <f>SUM(I4:I12)</f>
        <v>250100</v>
      </c>
      <c r="J13" s="10"/>
    </row>
    <row r="15" spans="1:10" ht="15" customHeight="1" x14ac:dyDescent="0.3">
      <c r="A15" s="64" t="s">
        <v>303</v>
      </c>
      <c r="B15" s="54"/>
      <c r="C15" s="54"/>
      <c r="D15" s="54"/>
      <c r="E15" s="54"/>
      <c r="F15" s="54"/>
      <c r="G15" s="54"/>
      <c r="H15" s="54"/>
      <c r="I15" s="54"/>
      <c r="J15" s="54"/>
    </row>
    <row r="16" spans="1:10" ht="15" customHeight="1" x14ac:dyDescent="0.3">
      <c r="A16" s="54"/>
      <c r="B16" s="54"/>
      <c r="C16" s="54"/>
      <c r="D16" s="54"/>
      <c r="E16" s="54"/>
      <c r="F16" s="54"/>
      <c r="G16" s="54"/>
      <c r="H16" s="54"/>
      <c r="I16" s="54"/>
      <c r="J16" s="54"/>
    </row>
    <row r="17" spans="1:10" ht="15" customHeight="1" x14ac:dyDescent="0.3">
      <c r="A17" s="54"/>
      <c r="B17" s="54"/>
      <c r="C17" s="54"/>
      <c r="D17" s="54"/>
      <c r="E17" s="54"/>
      <c r="F17" s="54"/>
      <c r="G17" s="54"/>
      <c r="H17" s="54"/>
      <c r="I17" s="54"/>
      <c r="J17" s="54"/>
    </row>
  </sheetData>
  <mergeCells count="2">
    <mergeCell ref="A1:J1"/>
    <mergeCell ref="A15:J17"/>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700-000000000000}">
          <x14:formula1>
            <xm:f>Lists!$C$2:$C$11</xm:f>
          </x14:formula1>
          <x14:formula2>
            <xm:f>0</xm:f>
          </x14:formula2>
          <xm:sqref>A9:A12</xm:sqref>
        </x14:dataValidation>
        <x14:dataValidation type="list" allowBlank="1" xr:uid="{00000000-0002-0000-0700-000001000000}">
          <x14:formula1>
            <xm:f>Lists!$B$2:$B$4</xm:f>
          </x14:formula1>
          <x14:formula2>
            <xm:f>0</xm:f>
          </x14:formula2>
          <xm:sqref>D9:D12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G13"/>
  <sheetViews>
    <sheetView showGridLines="0" zoomScaleNormal="100" workbookViewId="0">
      <pane ySplit="4" topLeftCell="A5" activePane="bottomLeft" state="frozen"/>
      <selection pane="bottomLeft"/>
    </sheetView>
  </sheetViews>
  <sheetFormatPr defaultColWidth="8.6640625" defaultRowHeight="14.4" x14ac:dyDescent="0.3"/>
  <cols>
    <col min="1" max="1" width="26" customWidth="1"/>
    <col min="2" max="2" width="20" customWidth="1"/>
    <col min="3" max="3" width="12" customWidth="1"/>
    <col min="4" max="6" width="18" customWidth="1"/>
    <col min="7" max="7" width="30" customWidth="1"/>
  </cols>
  <sheetData>
    <row r="1" spans="1:7" ht="25.5" customHeight="1" x14ac:dyDescent="0.3">
      <c r="A1" s="57" t="s">
        <v>304</v>
      </c>
      <c r="B1" s="54"/>
      <c r="C1" s="54"/>
      <c r="D1" s="54"/>
      <c r="E1" s="54"/>
      <c r="F1" s="54"/>
      <c r="G1" s="54"/>
    </row>
    <row r="2" spans="1:7" ht="21.75" customHeight="1" x14ac:dyDescent="0.3">
      <c r="A2" s="56" t="s">
        <v>305</v>
      </c>
      <c r="B2" s="54"/>
      <c r="C2" s="54"/>
      <c r="D2" s="54"/>
      <c r="E2" s="54"/>
      <c r="F2" s="54"/>
      <c r="G2" s="54"/>
    </row>
    <row r="4" spans="1:7" ht="30" customHeight="1" x14ac:dyDescent="0.3">
      <c r="A4" s="2" t="s">
        <v>306</v>
      </c>
      <c r="B4" s="2" t="s">
        <v>307</v>
      </c>
      <c r="C4" s="2" t="s">
        <v>308</v>
      </c>
      <c r="D4" s="2" t="s">
        <v>309</v>
      </c>
      <c r="E4" s="2" t="s">
        <v>310</v>
      </c>
      <c r="F4" s="2" t="s">
        <v>311</v>
      </c>
      <c r="G4" s="2" t="s">
        <v>143</v>
      </c>
    </row>
    <row r="5" spans="1:7" ht="15" customHeight="1" x14ac:dyDescent="0.3">
      <c r="A5" s="24" t="s">
        <v>312</v>
      </c>
      <c r="B5" s="28" t="s">
        <v>313</v>
      </c>
      <c r="C5" s="35">
        <v>1</v>
      </c>
      <c r="D5" s="9">
        <f>'3. Income Statement'!B47</f>
        <v>190000</v>
      </c>
      <c r="E5" s="13">
        <f>'4. Balance Sheet'!B41</f>
        <v>1145000</v>
      </c>
      <c r="F5" s="28">
        <v>350000</v>
      </c>
      <c r="G5" s="26" t="s">
        <v>314</v>
      </c>
    </row>
    <row r="6" spans="1:7" ht="32.25" customHeight="1" x14ac:dyDescent="0.3">
      <c r="A6" s="24" t="s">
        <v>315</v>
      </c>
      <c r="B6" s="28" t="s">
        <v>316</v>
      </c>
      <c r="C6" s="35">
        <v>1</v>
      </c>
      <c r="D6" s="28">
        <v>60000</v>
      </c>
      <c r="E6" s="28">
        <v>420000</v>
      </c>
      <c r="F6" s="28">
        <v>150000</v>
      </c>
      <c r="G6" s="36" t="s">
        <v>317</v>
      </c>
    </row>
    <row r="7" spans="1:7" ht="15" customHeight="1" x14ac:dyDescent="0.3">
      <c r="A7" s="23"/>
      <c r="B7" s="23"/>
      <c r="C7" s="34"/>
      <c r="D7" s="27"/>
      <c r="E7" s="27"/>
      <c r="F7" s="27"/>
      <c r="G7" s="23"/>
    </row>
    <row r="8" spans="1:7" ht="15" customHeight="1" x14ac:dyDescent="0.3">
      <c r="A8" s="23"/>
      <c r="B8" s="23"/>
      <c r="C8" s="34"/>
      <c r="D8" s="27"/>
      <c r="E8" s="27"/>
      <c r="F8" s="27"/>
      <c r="G8" s="23"/>
    </row>
    <row r="9" spans="1:7" ht="15" customHeight="1" x14ac:dyDescent="0.3">
      <c r="A9" s="23"/>
      <c r="B9" s="23"/>
      <c r="C9" s="34"/>
      <c r="D9" s="27"/>
      <c r="E9" s="27"/>
      <c r="F9" s="27"/>
      <c r="G9" s="23"/>
    </row>
    <row r="10" spans="1:7" ht="15" customHeight="1" x14ac:dyDescent="0.3">
      <c r="A10" s="16" t="s">
        <v>148</v>
      </c>
      <c r="B10" s="10"/>
      <c r="C10" s="10"/>
      <c r="D10" s="15">
        <f>SUM(D5:D9)</f>
        <v>250000</v>
      </c>
      <c r="E10" s="15">
        <f>SUM(E5:E9)</f>
        <v>1565000</v>
      </c>
      <c r="F10" s="15">
        <f>SUM(F5:F9)</f>
        <v>500000</v>
      </c>
      <c r="G10" s="10"/>
    </row>
    <row r="11" spans="1:7" ht="15" customHeight="1" x14ac:dyDescent="0.3">
      <c r="A11" s="26" t="s">
        <v>318</v>
      </c>
      <c r="B11" s="10"/>
      <c r="C11" s="10"/>
      <c r="D11" s="10"/>
      <c r="E11" s="10"/>
      <c r="F11" s="37">
        <f>F10-500000</f>
        <v>0</v>
      </c>
      <c r="G11" s="10"/>
    </row>
    <row r="12" spans="1:7" ht="15" customHeight="1" x14ac:dyDescent="0.3">
      <c r="A12" s="10"/>
      <c r="B12" s="10"/>
      <c r="C12" s="10"/>
      <c r="D12" s="10"/>
      <c r="E12" s="10"/>
      <c r="F12" s="10"/>
      <c r="G12" s="10"/>
    </row>
    <row r="13" spans="1:7" ht="15" customHeight="1" x14ac:dyDescent="0.3">
      <c r="A13" s="67" t="s">
        <v>319</v>
      </c>
      <c r="B13" s="66"/>
      <c r="C13" s="23" t="s">
        <v>113</v>
      </c>
      <c r="D13" s="10"/>
      <c r="E13" s="10"/>
      <c r="F13" s="10"/>
      <c r="G13" s="10"/>
    </row>
  </sheetData>
  <mergeCells count="3">
    <mergeCell ref="A13:B13"/>
    <mergeCell ref="A2:G2"/>
    <mergeCell ref="A1:G1"/>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800-000000000000}">
          <x14:formula1>
            <xm:f>Lists!$I$2:$I$5</xm:f>
          </x14:formula1>
          <x14:formula2>
            <xm:f>0</xm:f>
          </x14:formula2>
          <xm:sqref>B7:B9</xm:sqref>
        </x14:dataValidation>
        <x14:dataValidation type="list" allowBlank="1" xr:uid="{00000000-0002-0000-0800-000003000000}">
          <x14:formula1>
            <xm:f>Lists!$B$2:$B$4</xm:f>
          </x14:formula1>
          <x14:formula2>
            <xm:f>0</xm:f>
          </x14:formula2>
          <xm:sqref>C13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K17"/>
  <sheetViews>
    <sheetView showGridLines="0" zoomScaleNormal="100" workbookViewId="0">
      <pane ySplit="3" topLeftCell="A4" activePane="bottomLeft" state="frozen"/>
      <selection pane="bottomLeft"/>
    </sheetView>
  </sheetViews>
  <sheetFormatPr defaultColWidth="8.6640625" defaultRowHeight="14.4" x14ac:dyDescent="0.3"/>
  <cols>
    <col min="1" max="1" width="18" customWidth="1"/>
    <col min="2" max="2" width="20" customWidth="1"/>
    <col min="3" max="3" width="14" customWidth="1"/>
    <col min="4" max="5" width="12" customWidth="1"/>
    <col min="6" max="6" width="8" customWidth="1"/>
    <col min="7" max="7" width="16" customWidth="1"/>
    <col min="8" max="8" width="14" customWidth="1"/>
    <col min="9" max="9" width="20" customWidth="1"/>
    <col min="10" max="10" width="16" customWidth="1"/>
    <col min="11" max="11" width="22" customWidth="1"/>
  </cols>
  <sheetData>
    <row r="1" spans="1:11" ht="25.5" customHeight="1" x14ac:dyDescent="0.3">
      <c r="A1" s="57" t="s">
        <v>320</v>
      </c>
      <c r="B1" s="54"/>
      <c r="C1" s="54"/>
      <c r="D1" s="54"/>
      <c r="E1" s="54"/>
      <c r="F1" s="54"/>
      <c r="G1" s="54"/>
      <c r="H1" s="54"/>
      <c r="I1" s="54"/>
      <c r="J1" s="54"/>
      <c r="K1" s="54"/>
    </row>
    <row r="3" spans="1:11" ht="30" customHeight="1" x14ac:dyDescent="0.3">
      <c r="A3" s="2" t="s">
        <v>321</v>
      </c>
      <c r="B3" s="2" t="s">
        <v>322</v>
      </c>
      <c r="C3" s="2" t="s">
        <v>323</v>
      </c>
      <c r="D3" s="2" t="s">
        <v>324</v>
      </c>
      <c r="E3" s="2" t="s">
        <v>325</v>
      </c>
      <c r="F3" s="2" t="s">
        <v>326</v>
      </c>
      <c r="G3" s="2" t="s">
        <v>327</v>
      </c>
      <c r="H3" s="2" t="s">
        <v>328</v>
      </c>
      <c r="I3" s="2" t="s">
        <v>329</v>
      </c>
      <c r="J3" s="2" t="s">
        <v>330</v>
      </c>
      <c r="K3" s="2" t="s">
        <v>143</v>
      </c>
    </row>
    <row r="4" spans="1:11" ht="23.25" customHeight="1" x14ac:dyDescent="0.3">
      <c r="A4" s="24" t="s">
        <v>331</v>
      </c>
      <c r="B4" s="28" t="s">
        <v>313</v>
      </c>
      <c r="C4" s="28" t="s">
        <v>332</v>
      </c>
      <c r="D4" s="35">
        <v>0.6</v>
      </c>
      <c r="E4" s="35">
        <v>0.6</v>
      </c>
      <c r="F4" s="28">
        <v>44</v>
      </c>
      <c r="G4" s="28">
        <v>45</v>
      </c>
      <c r="H4" s="28">
        <v>8</v>
      </c>
      <c r="I4" s="28" t="s">
        <v>333</v>
      </c>
      <c r="J4" s="25">
        <v>0</v>
      </c>
      <c r="K4" s="30" t="s">
        <v>334</v>
      </c>
    </row>
    <row r="5" spans="1:11" ht="57" customHeight="1" x14ac:dyDescent="0.3">
      <c r="A5" s="24" t="s">
        <v>335</v>
      </c>
      <c r="B5" s="28" t="s">
        <v>336</v>
      </c>
      <c r="C5" s="28" t="s">
        <v>337</v>
      </c>
      <c r="D5" s="35">
        <v>0.1</v>
      </c>
      <c r="E5" s="35">
        <v>0.1</v>
      </c>
      <c r="F5" s="28">
        <v>42</v>
      </c>
      <c r="G5" s="28">
        <v>5</v>
      </c>
      <c r="H5" s="28">
        <v>3</v>
      </c>
      <c r="I5" s="21" t="s">
        <v>338</v>
      </c>
      <c r="J5" s="25">
        <v>95000</v>
      </c>
      <c r="K5" s="30" t="s">
        <v>339</v>
      </c>
    </row>
    <row r="6" spans="1:11" ht="45.75" customHeight="1" x14ac:dyDescent="0.3">
      <c r="A6" s="24" t="s">
        <v>340</v>
      </c>
      <c r="B6" s="28" t="s">
        <v>341</v>
      </c>
      <c r="C6" s="28" t="s">
        <v>342</v>
      </c>
      <c r="D6" s="35">
        <v>0</v>
      </c>
      <c r="E6" s="35">
        <v>0.3</v>
      </c>
      <c r="F6" s="28"/>
      <c r="G6" s="28">
        <v>0</v>
      </c>
      <c r="H6" s="28">
        <v>0</v>
      </c>
      <c r="I6" s="28" t="s">
        <v>343</v>
      </c>
      <c r="J6" s="25">
        <v>0</v>
      </c>
      <c r="K6" s="30" t="s">
        <v>344</v>
      </c>
    </row>
    <row r="7" spans="1:11" ht="15" customHeight="1" x14ac:dyDescent="0.3">
      <c r="A7" s="23"/>
      <c r="B7" s="23"/>
      <c r="C7" s="23"/>
      <c r="D7" s="34"/>
      <c r="E7" s="34"/>
      <c r="F7" s="23"/>
      <c r="G7" s="23"/>
      <c r="H7" s="23"/>
      <c r="I7" s="23"/>
      <c r="J7" s="27"/>
      <c r="K7" s="23"/>
    </row>
    <row r="8" spans="1:11" ht="15" customHeight="1" x14ac:dyDescent="0.3">
      <c r="A8" s="23"/>
      <c r="B8" s="23"/>
      <c r="C8" s="23"/>
      <c r="D8" s="34"/>
      <c r="E8" s="34"/>
      <c r="F8" s="23"/>
      <c r="G8" s="23"/>
      <c r="H8" s="23"/>
      <c r="I8" s="23"/>
      <c r="J8" s="27"/>
      <c r="K8" s="23"/>
    </row>
    <row r="9" spans="1:11" ht="15" customHeight="1" x14ac:dyDescent="0.3">
      <c r="A9" s="23"/>
      <c r="B9" s="23"/>
      <c r="C9" s="23"/>
      <c r="D9" s="34"/>
      <c r="E9" s="34"/>
      <c r="F9" s="23"/>
      <c r="G9" s="23"/>
      <c r="H9" s="23"/>
      <c r="I9" s="23"/>
      <c r="J9" s="27"/>
      <c r="K9" s="23"/>
    </row>
    <row r="10" spans="1:11" ht="15" customHeight="1" x14ac:dyDescent="0.3">
      <c r="A10" s="23"/>
      <c r="B10" s="23"/>
      <c r="C10" s="23"/>
      <c r="D10" s="34"/>
      <c r="E10" s="34"/>
      <c r="F10" s="23"/>
      <c r="G10" s="23"/>
      <c r="H10" s="23"/>
      <c r="I10" s="23"/>
      <c r="J10" s="27"/>
      <c r="K10" s="23"/>
    </row>
    <row r="11" spans="1:11" ht="53.25" customHeight="1" x14ac:dyDescent="0.3">
      <c r="A11" s="16" t="s">
        <v>148</v>
      </c>
      <c r="B11" s="10"/>
      <c r="C11" s="10"/>
      <c r="D11" s="38">
        <f>SUM(D4:D10)</f>
        <v>0.7</v>
      </c>
      <c r="E11" s="38">
        <f>SUM(E4:E10)</f>
        <v>1</v>
      </c>
      <c r="F11" s="10"/>
      <c r="G11" s="10"/>
      <c r="H11" s="10"/>
      <c r="I11" s="8" t="str">
        <f>COUNTIF(I4:I10,"Not Excluded - TOSI Risk")&amp;" shareholder(s) flagged for TOSI risk"</f>
        <v>1 shareholder(s) flagged for TOSI risk</v>
      </c>
      <c r="J11" s="10"/>
      <c r="K11" s="36" t="s">
        <v>345</v>
      </c>
    </row>
    <row r="12" spans="1:11" ht="15" customHeight="1" x14ac:dyDescent="0.3">
      <c r="A12" s="10"/>
      <c r="B12" s="10"/>
      <c r="C12" s="10"/>
      <c r="D12" s="10"/>
      <c r="E12" s="10"/>
      <c r="F12" s="10"/>
      <c r="G12" s="10"/>
      <c r="H12" s="10"/>
      <c r="I12" s="10"/>
      <c r="J12" s="10"/>
      <c r="K12" s="10"/>
    </row>
    <row r="13" spans="1:11" ht="18" customHeight="1" x14ac:dyDescent="0.3">
      <c r="A13" s="68" t="s">
        <v>346</v>
      </c>
      <c r="B13" s="61"/>
      <c r="C13" s="61"/>
      <c r="D13" s="61"/>
      <c r="E13" s="61"/>
      <c r="F13" s="61"/>
      <c r="G13" s="61"/>
      <c r="H13" s="61"/>
      <c r="I13" s="61"/>
      <c r="J13" s="61"/>
      <c r="K13" s="66"/>
    </row>
    <row r="14" spans="1:11" ht="30" customHeight="1" x14ac:dyDescent="0.3">
      <c r="A14" s="2" t="s">
        <v>321</v>
      </c>
      <c r="B14" s="2" t="s">
        <v>347</v>
      </c>
      <c r="C14" s="2" t="s">
        <v>348</v>
      </c>
      <c r="D14" s="2" t="s">
        <v>349</v>
      </c>
      <c r="E14" s="2"/>
      <c r="F14" s="2"/>
      <c r="G14" s="2"/>
      <c r="H14" s="2"/>
      <c r="I14" s="2"/>
      <c r="J14" s="2"/>
      <c r="K14" s="2" t="s">
        <v>350</v>
      </c>
    </row>
    <row r="15" spans="1:11" ht="15" customHeight="1" x14ac:dyDescent="0.3">
      <c r="A15" s="24" t="s">
        <v>335</v>
      </c>
      <c r="B15" s="25">
        <v>25000</v>
      </c>
      <c r="C15" s="28" t="s">
        <v>351</v>
      </c>
      <c r="D15" s="28" t="s">
        <v>113</v>
      </c>
      <c r="E15" s="10"/>
      <c r="F15" s="10"/>
      <c r="G15" s="10"/>
      <c r="H15" s="10"/>
      <c r="I15" s="10"/>
      <c r="J15" s="10"/>
      <c r="K15" s="21" t="s">
        <v>352</v>
      </c>
    </row>
    <row r="16" spans="1:11" ht="15" customHeight="1" x14ac:dyDescent="0.3">
      <c r="A16" s="23"/>
      <c r="B16" s="27"/>
      <c r="C16" s="23"/>
      <c r="D16" s="23"/>
      <c r="E16" s="10"/>
      <c r="F16" s="10"/>
      <c r="G16" s="10"/>
      <c r="H16" s="10"/>
      <c r="I16" s="10"/>
      <c r="J16" s="10"/>
      <c r="K16" s="23"/>
    </row>
    <row r="17" spans="1:11" ht="15" customHeight="1" x14ac:dyDescent="0.3">
      <c r="A17" s="23"/>
      <c r="B17" s="27"/>
      <c r="C17" s="23"/>
      <c r="D17" s="23"/>
      <c r="E17" s="10"/>
      <c r="F17" s="10"/>
      <c r="G17" s="10"/>
      <c r="H17" s="10"/>
      <c r="I17" s="10"/>
      <c r="J17" s="10"/>
      <c r="K17" s="23"/>
    </row>
  </sheetData>
  <mergeCells count="2">
    <mergeCell ref="A1:K1"/>
    <mergeCell ref="A13:K1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4">
        <x14:dataValidation type="list" allowBlank="1" xr:uid="{00000000-0002-0000-0900-000000000000}">
          <x14:formula1>
            <xm:f>Lists!$G$2:$G$9</xm:f>
          </x14:formula1>
          <x14:formula2>
            <xm:f>0</xm:f>
          </x14:formula2>
          <xm:sqref>B7:B10</xm:sqref>
        </x14:dataValidation>
        <x14:dataValidation type="list" allowBlank="1" xr:uid="{00000000-0002-0000-0900-000001000000}">
          <x14:formula1>
            <xm:f>Lists!$H$2:$H$6</xm:f>
          </x14:formula1>
          <x14:formula2>
            <xm:f>0</xm:f>
          </x14:formula2>
          <xm:sqref>C7:C10</xm:sqref>
        </x14:dataValidation>
        <x14:dataValidation type="list" allowBlank="1" xr:uid="{00000000-0002-0000-0900-000002000000}">
          <x14:formula1>
            <xm:f>Lists!$F$2:$F$7</xm:f>
          </x14:formula1>
          <x14:formula2>
            <xm:f>0</xm:f>
          </x14:formula2>
          <xm:sqref>I7:I10</xm:sqref>
        </x14:dataValidation>
        <x14:dataValidation type="list" allowBlank="1" xr:uid="{00000000-0002-0000-0900-00000C000000}">
          <x14:formula1>
            <xm:f>Lists!$B$2:$B$4</xm:f>
          </x14:formula1>
          <x14:formula2>
            <xm:f>0</xm:f>
          </x14:formula2>
          <xm:sqref>D16:D17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J25"/>
  <sheetViews>
    <sheetView showGridLines="0" zoomScaleNormal="100" workbookViewId="0">
      <pane ySplit="3" topLeftCell="A4" activePane="bottomLeft" state="frozen"/>
      <selection pane="bottomLeft"/>
    </sheetView>
  </sheetViews>
  <sheetFormatPr defaultColWidth="8.6640625" defaultRowHeight="14.4" x14ac:dyDescent="0.3"/>
  <cols>
    <col min="1" max="1" width="18" customWidth="1"/>
    <col min="2" max="2" width="16" customWidth="1"/>
    <col min="3" max="3" width="14" customWidth="1"/>
    <col min="4" max="6" width="12" customWidth="1"/>
    <col min="7" max="9" width="14" customWidth="1"/>
    <col min="10" max="10" width="18" customWidth="1"/>
  </cols>
  <sheetData>
    <row r="1" spans="1:10" ht="25.5" customHeight="1" x14ac:dyDescent="0.3">
      <c r="A1" s="57" t="s">
        <v>353</v>
      </c>
      <c r="B1" s="54"/>
      <c r="C1" s="54"/>
      <c r="D1" s="54"/>
      <c r="E1" s="54"/>
      <c r="F1" s="54"/>
      <c r="G1" s="54"/>
      <c r="H1" s="54"/>
      <c r="I1" s="54"/>
      <c r="J1" s="54"/>
    </row>
    <row r="3" spans="1:10" ht="30" customHeight="1" x14ac:dyDescent="0.3">
      <c r="A3" s="2" t="s">
        <v>354</v>
      </c>
      <c r="B3" s="2" t="s">
        <v>355</v>
      </c>
      <c r="C3" s="2" t="s">
        <v>356</v>
      </c>
      <c r="D3" s="2" t="s">
        <v>357</v>
      </c>
      <c r="E3" s="2" t="s">
        <v>358</v>
      </c>
      <c r="F3" s="2" t="s">
        <v>359</v>
      </c>
      <c r="G3" s="2" t="s">
        <v>360</v>
      </c>
      <c r="H3" s="2" t="s">
        <v>361</v>
      </c>
      <c r="I3" s="2" t="s">
        <v>362</v>
      </c>
      <c r="J3" s="2" t="s">
        <v>363</v>
      </c>
    </row>
    <row r="4" spans="1:10" ht="15" customHeight="1" x14ac:dyDescent="0.3">
      <c r="A4" s="24" t="s">
        <v>331</v>
      </c>
      <c r="B4" s="28" t="s">
        <v>364</v>
      </c>
      <c r="C4" s="25">
        <v>120000</v>
      </c>
      <c r="D4" s="25">
        <v>3867.5</v>
      </c>
      <c r="E4" s="25">
        <v>396</v>
      </c>
      <c r="F4" s="25">
        <v>0</v>
      </c>
      <c r="G4" s="25">
        <v>28000</v>
      </c>
      <c r="H4" s="25">
        <v>6000</v>
      </c>
      <c r="I4" s="28" t="s">
        <v>109</v>
      </c>
      <c r="J4" s="28" t="s">
        <v>365</v>
      </c>
    </row>
    <row r="5" spans="1:10" ht="15" customHeight="1" x14ac:dyDescent="0.3">
      <c r="A5" s="24" t="s">
        <v>366</v>
      </c>
      <c r="B5" s="28" t="s">
        <v>367</v>
      </c>
      <c r="C5" s="25">
        <v>140000</v>
      </c>
      <c r="D5" s="25">
        <v>3867.5</v>
      </c>
      <c r="E5" s="25">
        <v>396</v>
      </c>
      <c r="F5" s="25">
        <v>1049.1199999999999</v>
      </c>
      <c r="G5" s="25">
        <v>30000</v>
      </c>
      <c r="H5" s="25">
        <v>0</v>
      </c>
      <c r="I5" s="28" t="s">
        <v>109</v>
      </c>
      <c r="J5" s="28" t="s">
        <v>365</v>
      </c>
    </row>
    <row r="6" spans="1:10" ht="15" customHeight="1" x14ac:dyDescent="0.3">
      <c r="A6" s="24" t="s">
        <v>368</v>
      </c>
      <c r="B6" s="28" t="s">
        <v>369</v>
      </c>
      <c r="C6" s="25">
        <v>90000</v>
      </c>
      <c r="D6" s="25">
        <v>3867.5</v>
      </c>
      <c r="E6" s="25">
        <v>396</v>
      </c>
      <c r="F6" s="25">
        <v>1049.1199999999999</v>
      </c>
      <c r="G6" s="25">
        <v>17100</v>
      </c>
      <c r="H6" s="25">
        <v>0</v>
      </c>
      <c r="I6" s="28" t="s">
        <v>109</v>
      </c>
      <c r="J6" s="28" t="s">
        <v>365</v>
      </c>
    </row>
    <row r="7" spans="1:10" ht="15" customHeight="1" x14ac:dyDescent="0.3">
      <c r="A7" s="24" t="s">
        <v>370</v>
      </c>
      <c r="B7" s="28" t="s">
        <v>371</v>
      </c>
      <c r="C7" s="25">
        <v>70000</v>
      </c>
      <c r="D7" s="25">
        <v>3867.5</v>
      </c>
      <c r="E7" s="25">
        <v>0</v>
      </c>
      <c r="F7" s="25">
        <v>1049.1199999999999</v>
      </c>
      <c r="G7" s="25">
        <v>11900</v>
      </c>
      <c r="H7" s="25">
        <v>0</v>
      </c>
      <c r="I7" s="28" t="s">
        <v>109</v>
      </c>
      <c r="J7" s="28" t="s">
        <v>365</v>
      </c>
    </row>
    <row r="8" spans="1:10" ht="15" customHeight="1" x14ac:dyDescent="0.3">
      <c r="A8" s="24" t="s">
        <v>372</v>
      </c>
      <c r="B8" s="28" t="s">
        <v>373</v>
      </c>
      <c r="C8" s="25">
        <v>95000</v>
      </c>
      <c r="D8" s="25">
        <v>3867.5</v>
      </c>
      <c r="E8" s="25">
        <v>396</v>
      </c>
      <c r="F8" s="25">
        <v>1049.1199999999999</v>
      </c>
      <c r="G8" s="25">
        <v>18500</v>
      </c>
      <c r="H8" s="25">
        <v>0</v>
      </c>
      <c r="I8" s="28" t="s">
        <v>374</v>
      </c>
      <c r="J8" s="28" t="s">
        <v>365</v>
      </c>
    </row>
    <row r="9" spans="1:10" ht="15" customHeight="1" x14ac:dyDescent="0.3">
      <c r="A9" s="24" t="s">
        <v>375</v>
      </c>
      <c r="B9" s="28" t="s">
        <v>373</v>
      </c>
      <c r="C9" s="25">
        <v>85000</v>
      </c>
      <c r="D9" s="25">
        <v>3867.5</v>
      </c>
      <c r="E9" s="25">
        <v>396</v>
      </c>
      <c r="F9" s="25">
        <v>1049.1199999999999</v>
      </c>
      <c r="G9" s="25">
        <v>15700</v>
      </c>
      <c r="H9" s="25">
        <v>0</v>
      </c>
      <c r="I9" s="28" t="s">
        <v>374</v>
      </c>
      <c r="J9" s="28" t="s">
        <v>365</v>
      </c>
    </row>
    <row r="10" spans="1:10" ht="15" customHeight="1" x14ac:dyDescent="0.3">
      <c r="A10" s="23"/>
      <c r="B10" s="23"/>
      <c r="C10" s="27"/>
      <c r="D10" s="27"/>
      <c r="E10" s="27"/>
      <c r="F10" s="27"/>
      <c r="G10" s="27"/>
      <c r="H10" s="27"/>
      <c r="I10" s="23"/>
      <c r="J10" s="23"/>
    </row>
    <row r="11" spans="1:10" ht="15" customHeight="1" x14ac:dyDescent="0.3">
      <c r="A11" s="23"/>
      <c r="B11" s="23"/>
      <c r="C11" s="27"/>
      <c r="D11" s="27"/>
      <c r="E11" s="27"/>
      <c r="F11" s="27"/>
      <c r="G11" s="27"/>
      <c r="H11" s="27"/>
      <c r="I11" s="23"/>
      <c r="J11" s="23"/>
    </row>
    <row r="12" spans="1:10" ht="15" customHeight="1" x14ac:dyDescent="0.3">
      <c r="A12" s="23"/>
      <c r="B12" s="23"/>
      <c r="C12" s="27"/>
      <c r="D12" s="27"/>
      <c r="E12" s="27"/>
      <c r="F12" s="27"/>
      <c r="G12" s="27"/>
      <c r="H12" s="27"/>
      <c r="I12" s="23"/>
      <c r="J12" s="23"/>
    </row>
    <row r="13" spans="1:10" ht="15" customHeight="1" x14ac:dyDescent="0.3">
      <c r="A13" s="16" t="s">
        <v>148</v>
      </c>
      <c r="B13" s="10"/>
      <c r="C13" s="15">
        <f t="shared" ref="C13:H13" si="0">SUM(C4:C12)</f>
        <v>600000</v>
      </c>
      <c r="D13" s="15">
        <f t="shared" si="0"/>
        <v>23205</v>
      </c>
      <c r="E13" s="15">
        <f t="shared" si="0"/>
        <v>1980</v>
      </c>
      <c r="F13" s="15">
        <f t="shared" si="0"/>
        <v>5245.5999999999995</v>
      </c>
      <c r="G13" s="15">
        <f t="shared" si="0"/>
        <v>121200</v>
      </c>
      <c r="H13" s="15">
        <f t="shared" si="0"/>
        <v>6000</v>
      </c>
      <c r="I13" s="10"/>
      <c r="J13" s="10"/>
    </row>
    <row r="15" spans="1:10" ht="18" customHeight="1" x14ac:dyDescent="0.3">
      <c r="A15" s="53" t="s">
        <v>376</v>
      </c>
      <c r="B15" s="54"/>
      <c r="C15" s="54"/>
      <c r="D15" s="54"/>
      <c r="E15" s="54"/>
      <c r="F15" s="54"/>
      <c r="G15" s="54"/>
      <c r="H15" s="54"/>
      <c r="I15" s="54"/>
      <c r="J15" s="54"/>
    </row>
    <row r="16" spans="1:10" ht="15" customHeight="1" x14ac:dyDescent="0.3">
      <c r="A16" s="55" t="s">
        <v>377</v>
      </c>
      <c r="B16" s="54"/>
      <c r="C16" s="39">
        <f>D13</f>
        <v>23205</v>
      </c>
    </row>
    <row r="17" spans="1:10" ht="15" customHeight="1" x14ac:dyDescent="0.3">
      <c r="A17" s="55" t="s">
        <v>378</v>
      </c>
      <c r="B17" s="54"/>
      <c r="C17" s="39">
        <f>E13</f>
        <v>1980</v>
      </c>
    </row>
    <row r="18" spans="1:10" ht="15" customHeight="1" x14ac:dyDescent="0.3">
      <c r="A18" s="55" t="s">
        <v>379</v>
      </c>
      <c r="B18" s="54"/>
      <c r="C18" s="39">
        <f>F13*1.4</f>
        <v>7343.8399999999983</v>
      </c>
    </row>
    <row r="19" spans="1:10" ht="15" customHeight="1" x14ac:dyDescent="0.3">
      <c r="A19" s="55" t="s">
        <v>380</v>
      </c>
      <c r="B19" s="54"/>
      <c r="C19" s="27">
        <v>600000</v>
      </c>
    </row>
    <row r="20" spans="1:10" ht="15" customHeight="1" x14ac:dyDescent="0.3">
      <c r="A20" s="55" t="s">
        <v>381</v>
      </c>
      <c r="B20" s="54"/>
      <c r="C20" s="40">
        <v>1.1499999999999999</v>
      </c>
      <c r="D20" s="1" t="s">
        <v>382</v>
      </c>
    </row>
    <row r="21" spans="1:10" ht="15" customHeight="1" x14ac:dyDescent="0.3">
      <c r="A21" s="55" t="s">
        <v>383</v>
      </c>
      <c r="B21" s="54"/>
      <c r="C21" s="41">
        <f>C19/100*C20</f>
        <v>6899.9999999999991</v>
      </c>
    </row>
    <row r="23" spans="1:10" ht="15" customHeight="1" x14ac:dyDescent="0.3">
      <c r="A23" s="64" t="s">
        <v>384</v>
      </c>
      <c r="B23" s="54"/>
      <c r="C23" s="54"/>
      <c r="D23" s="54"/>
      <c r="E23" s="54"/>
      <c r="F23" s="54"/>
      <c r="G23" s="54"/>
      <c r="H23" s="54"/>
      <c r="I23" s="54"/>
      <c r="J23" s="54"/>
    </row>
    <row r="24" spans="1:10" ht="15" customHeight="1" x14ac:dyDescent="0.3">
      <c r="A24" s="54"/>
      <c r="B24" s="54"/>
      <c r="C24" s="54"/>
      <c r="D24" s="54"/>
      <c r="E24" s="54"/>
      <c r="F24" s="54"/>
      <c r="G24" s="54"/>
      <c r="H24" s="54"/>
      <c r="I24" s="54"/>
      <c r="J24" s="54"/>
    </row>
    <row r="25" spans="1:10" ht="15" customHeight="1" x14ac:dyDescent="0.3">
      <c r="A25" s="54"/>
      <c r="B25" s="54"/>
      <c r="C25" s="54"/>
      <c r="D25" s="54"/>
      <c r="E25" s="54"/>
      <c r="F25" s="54"/>
      <c r="G25" s="54"/>
      <c r="H25" s="54"/>
      <c r="I25" s="54"/>
      <c r="J25" s="54"/>
    </row>
  </sheetData>
  <mergeCells count="9">
    <mergeCell ref="A23:J25"/>
    <mergeCell ref="A1:J1"/>
    <mergeCell ref="A21:B21"/>
    <mergeCell ref="A16:B16"/>
    <mergeCell ref="A20:B20"/>
    <mergeCell ref="A19:B19"/>
    <mergeCell ref="A15:J15"/>
    <mergeCell ref="A17:B17"/>
    <mergeCell ref="A18:B18"/>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A00-000000000000}">
          <x14:formula1>
            <xm:f>Lists!$A$2:$A$14</xm:f>
          </x14:formula1>
          <x14:formula2>
            <xm:f>0</xm:f>
          </x14:formula2>
          <xm:sqref>I10:I12</xm:sqref>
        </x14:dataValidation>
        <x14:dataValidation type="list" allowBlank="1" xr:uid="{00000000-0002-0000-0A00-000001000000}">
          <x14:formula1>
            <xm:f>Lists!$D$2:$D$5</xm:f>
          </x14:formula1>
          <x14:formula2>
            <xm:f>0</xm:f>
          </x14:formula2>
          <xm:sqref>J10:J12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D29"/>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4" width="30" customWidth="1"/>
  </cols>
  <sheetData>
    <row r="1" spans="1:4" ht="25.5" customHeight="1" x14ac:dyDescent="0.3">
      <c r="A1" s="57" t="s">
        <v>385</v>
      </c>
      <c r="B1" s="54"/>
      <c r="C1" s="54"/>
      <c r="D1" s="54"/>
    </row>
    <row r="3" spans="1:4" ht="18" customHeight="1" x14ac:dyDescent="0.3">
      <c r="A3" s="53" t="s">
        <v>386</v>
      </c>
      <c r="B3" s="54"/>
      <c r="C3" s="54"/>
      <c r="D3" s="54"/>
    </row>
    <row r="4" spans="1:4" ht="15" customHeight="1" x14ac:dyDescent="0.3">
      <c r="A4" s="69" t="s">
        <v>387</v>
      </c>
      <c r="B4" s="61"/>
      <c r="C4" s="23" t="s">
        <v>113</v>
      </c>
    </row>
    <row r="5" spans="1:4" ht="15" customHeight="1" x14ac:dyDescent="0.3">
      <c r="A5" s="69" t="s">
        <v>388</v>
      </c>
      <c r="B5" s="61"/>
      <c r="C5" s="23" t="s">
        <v>104</v>
      </c>
    </row>
    <row r="6" spans="1:4" ht="15" customHeight="1" x14ac:dyDescent="0.3">
      <c r="A6" s="69" t="s">
        <v>389</v>
      </c>
      <c r="B6" s="61"/>
      <c r="C6" s="23" t="s">
        <v>390</v>
      </c>
    </row>
    <row r="7" spans="1:4" ht="15" customHeight="1" x14ac:dyDescent="0.3">
      <c r="A7" s="69" t="s">
        <v>391</v>
      </c>
      <c r="B7" s="61"/>
      <c r="C7" s="23" t="s">
        <v>122</v>
      </c>
    </row>
    <row r="8" spans="1:4" ht="15" customHeight="1" x14ac:dyDescent="0.3">
      <c r="A8" s="10"/>
      <c r="C8" s="10"/>
    </row>
    <row r="9" spans="1:4" ht="18" customHeight="1" x14ac:dyDescent="0.3">
      <c r="A9" s="62" t="s">
        <v>392</v>
      </c>
      <c r="B9" s="61"/>
      <c r="C9" s="61"/>
      <c r="D9" s="61"/>
    </row>
    <row r="10" spans="1:4" ht="15" customHeight="1" x14ac:dyDescent="0.3">
      <c r="A10" s="69" t="s">
        <v>393</v>
      </c>
      <c r="B10" s="61"/>
      <c r="C10" s="42">
        <f>'3. Income Statement'!B9</f>
        <v>1200000</v>
      </c>
    </row>
    <row r="11" spans="1:4" ht="15" customHeight="1" x14ac:dyDescent="0.3">
      <c r="A11" s="69" t="s">
        <v>394</v>
      </c>
      <c r="B11" s="61"/>
      <c r="C11" s="23" t="s">
        <v>395</v>
      </c>
    </row>
    <row r="12" spans="1:4" ht="15" customHeight="1" x14ac:dyDescent="0.3">
      <c r="A12" s="69" t="s">
        <v>396</v>
      </c>
      <c r="B12" s="61"/>
      <c r="C12" s="23" t="s">
        <v>395</v>
      </c>
    </row>
    <row r="13" spans="1:4" ht="15" customHeight="1" x14ac:dyDescent="0.3">
      <c r="A13" s="10"/>
      <c r="C13" s="10"/>
    </row>
    <row r="14" spans="1:4" ht="18" customHeight="1" x14ac:dyDescent="0.3">
      <c r="A14" s="62" t="s">
        <v>397</v>
      </c>
      <c r="B14" s="61"/>
      <c r="C14" s="61"/>
      <c r="D14" s="61"/>
    </row>
    <row r="15" spans="1:4" ht="15" customHeight="1" x14ac:dyDescent="0.3">
      <c r="A15" s="69" t="s">
        <v>398</v>
      </c>
      <c r="B15" s="61"/>
      <c r="C15" s="43">
        <f>INDEX('Province Rate Reference'!$F$5:$F$17,MATCH('1. Entity Setup'!$C$12,'Province Rate Reference'!$A$5:$A$17,0))</f>
        <v>0.05</v>
      </c>
    </row>
    <row r="16" spans="1:4" ht="15" customHeight="1" x14ac:dyDescent="0.3">
      <c r="A16" s="69" t="s">
        <v>399</v>
      </c>
      <c r="B16" s="61"/>
      <c r="C16" s="44">
        <f>C10*C15</f>
        <v>60000</v>
      </c>
    </row>
    <row r="17" spans="1:4" ht="15" customHeight="1" x14ac:dyDescent="0.3">
      <c r="A17" s="10"/>
      <c r="C17" s="10"/>
    </row>
    <row r="18" spans="1:4" ht="18" customHeight="1" x14ac:dyDescent="0.3">
      <c r="A18" s="62" t="s">
        <v>400</v>
      </c>
      <c r="B18" s="61"/>
      <c r="C18" s="61"/>
      <c r="D18" s="61"/>
    </row>
    <row r="19" spans="1:4" ht="23.25" customHeight="1" x14ac:dyDescent="0.3">
      <c r="A19" s="30" t="s">
        <v>401</v>
      </c>
      <c r="C19" s="25">
        <v>42000</v>
      </c>
    </row>
    <row r="20" spans="1:4" ht="32.25" customHeight="1" x14ac:dyDescent="0.3">
      <c r="A20" s="30" t="s">
        <v>402</v>
      </c>
      <c r="C20" s="25">
        <v>4000</v>
      </c>
      <c r="D20" s="12" t="s">
        <v>403</v>
      </c>
    </row>
    <row r="21" spans="1:4" ht="32.25" customHeight="1" x14ac:dyDescent="0.3">
      <c r="A21" s="30" t="s">
        <v>404</v>
      </c>
      <c r="C21" s="25">
        <v>750</v>
      </c>
      <c r="D21" s="12" t="s">
        <v>405</v>
      </c>
    </row>
    <row r="22" spans="1:4" ht="15" customHeight="1" x14ac:dyDescent="0.3">
      <c r="A22" s="30" t="s">
        <v>406</v>
      </c>
      <c r="C22" s="25">
        <v>1350</v>
      </c>
    </row>
    <row r="23" spans="1:4" ht="15" customHeight="1" x14ac:dyDescent="0.3">
      <c r="A23" s="29"/>
      <c r="C23" s="27"/>
    </row>
    <row r="24" spans="1:4" ht="15" customHeight="1" x14ac:dyDescent="0.3">
      <c r="A24" s="29"/>
      <c r="C24" s="27"/>
    </row>
    <row r="25" spans="1:4" ht="15" customHeight="1" x14ac:dyDescent="0.3">
      <c r="A25" s="16" t="s">
        <v>407</v>
      </c>
      <c r="C25" s="15">
        <f>SUM(C19:C24)</f>
        <v>48100</v>
      </c>
    </row>
    <row r="26" spans="1:4" ht="15" customHeight="1" x14ac:dyDescent="0.3">
      <c r="A26" s="10"/>
      <c r="C26" s="10"/>
    </row>
    <row r="27" spans="1:4" ht="18" customHeight="1" x14ac:dyDescent="0.3">
      <c r="A27" s="62" t="s">
        <v>408</v>
      </c>
      <c r="B27" s="61"/>
      <c r="C27" s="61"/>
      <c r="D27" s="61"/>
    </row>
    <row r="28" spans="1:4" ht="15" customHeight="1" x14ac:dyDescent="0.3">
      <c r="A28" s="17" t="s">
        <v>409</v>
      </c>
      <c r="B28" s="19"/>
      <c r="C28" s="45">
        <f>C16-C25</f>
        <v>11900</v>
      </c>
      <c r="D28" s="19"/>
    </row>
    <row r="29" spans="1:4" ht="15" customHeight="1" x14ac:dyDescent="0.3">
      <c r="A29" s="8" t="s">
        <v>410</v>
      </c>
      <c r="C29" s="8" t="str">
        <f>IF(C28&gt;3000,"Yes - instalments likely required","No")</f>
        <v>Yes - instalments likely required</v>
      </c>
    </row>
  </sheetData>
  <mergeCells count="15">
    <mergeCell ref="A27:D27"/>
    <mergeCell ref="A11:B11"/>
    <mergeCell ref="A3:D3"/>
    <mergeCell ref="A10:B10"/>
    <mergeCell ref="A5:B5"/>
    <mergeCell ref="A6:B6"/>
    <mergeCell ref="A14:D14"/>
    <mergeCell ref="A12:B12"/>
    <mergeCell ref="A4:B4"/>
    <mergeCell ref="A1:D1"/>
    <mergeCell ref="A9:D9"/>
    <mergeCell ref="A16:B16"/>
    <mergeCell ref="A18:D18"/>
    <mergeCell ref="A15:B15"/>
    <mergeCell ref="A7:B7"/>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B00-000000000000}">
          <x14:formula1>
            <xm:f>Lists!$B$2:$B$4</xm:f>
          </x14:formula1>
          <x14:formula2>
            <xm:f>0</xm:f>
          </x14:formula2>
          <xm:sqref>C4 C7</xm:sqref>
        </x14:dataValidation>
        <x14:dataValidation type="list" allowBlank="1" xr:uid="{00000000-0002-0000-0B00-000001000000}">
          <x14:formula1>
            <xm:f>Lists!$E$2:$E$4</xm:f>
          </x14:formula1>
          <x14:formula2>
            <xm:f>0</xm:f>
          </x14:formula2>
          <xm:sqref>C6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sheetPr>
  <dimension ref="A1:D27"/>
  <sheetViews>
    <sheetView showGridLines="0" zoomScaleNormal="100" workbookViewId="0">
      <pane ySplit="3" topLeftCell="A4" activePane="bottomLeft" state="frozen"/>
      <selection pane="bottomLeft"/>
    </sheetView>
  </sheetViews>
  <sheetFormatPr defaultColWidth="8.6640625" defaultRowHeight="14.4" x14ac:dyDescent="0.3"/>
  <cols>
    <col min="1" max="1" width="34" customWidth="1"/>
    <col min="2" max="2" width="16" customWidth="1"/>
    <col min="3" max="4" width="30" customWidth="1"/>
  </cols>
  <sheetData>
    <row r="1" spans="1:4" ht="25.5" customHeight="1" x14ac:dyDescent="0.3">
      <c r="A1" s="57" t="s">
        <v>411</v>
      </c>
      <c r="B1" s="54"/>
      <c r="C1" s="54"/>
      <c r="D1" s="54"/>
    </row>
    <row r="3" spans="1:4" ht="18" customHeight="1" x14ac:dyDescent="0.3">
      <c r="A3" s="53" t="s">
        <v>412</v>
      </c>
      <c r="B3" s="54"/>
      <c r="C3" s="54"/>
      <c r="D3" s="54"/>
    </row>
    <row r="4" spans="1:4" ht="21.75" customHeight="1" x14ac:dyDescent="0.3">
      <c r="A4" s="63" t="s">
        <v>413</v>
      </c>
      <c r="B4" s="61"/>
      <c r="C4" s="61"/>
      <c r="D4" s="61"/>
    </row>
    <row r="5" spans="1:4" ht="15" customHeight="1" x14ac:dyDescent="0.3">
      <c r="A5" s="67" t="s">
        <v>414</v>
      </c>
      <c r="B5" s="66"/>
      <c r="C5" s="27">
        <v>28500</v>
      </c>
    </row>
    <row r="6" spans="1:4" ht="15" customHeight="1" x14ac:dyDescent="0.3">
      <c r="A6" s="67" t="s">
        <v>415</v>
      </c>
      <c r="B6" s="66"/>
      <c r="C6" s="27">
        <v>12100</v>
      </c>
    </row>
    <row r="7" spans="1:4" ht="15" customHeight="1" x14ac:dyDescent="0.3">
      <c r="A7" s="67" t="s">
        <v>416</v>
      </c>
      <c r="B7" s="66"/>
      <c r="C7" s="27">
        <v>24000</v>
      </c>
    </row>
    <row r="8" spans="1:4" ht="15" customHeight="1" x14ac:dyDescent="0.3">
      <c r="A8" s="67" t="s">
        <v>417</v>
      </c>
      <c r="B8" s="66"/>
      <c r="C8" s="27">
        <v>10200</v>
      </c>
    </row>
    <row r="9" spans="1:4" ht="15" customHeight="1" x14ac:dyDescent="0.3">
      <c r="A9" s="10"/>
      <c r="B9" s="10"/>
      <c r="C9" s="10"/>
    </row>
    <row r="10" spans="1:4" ht="15" customHeight="1" x14ac:dyDescent="0.3">
      <c r="A10" s="16" t="s">
        <v>418</v>
      </c>
      <c r="B10" s="10"/>
      <c r="C10" s="8" t="str">
        <f>IF(OR((C5+C6)&gt;3000,(C7+C8)&gt;3000),"Likely Yes — confirm vs. current-year Dashboard estimate","No")</f>
        <v>Likely Yes — confirm vs. current-year Dashboard estimate</v>
      </c>
    </row>
    <row r="11" spans="1:4" ht="15" customHeight="1" x14ac:dyDescent="0.3">
      <c r="A11" s="10"/>
      <c r="B11" s="10"/>
      <c r="C11" s="10"/>
    </row>
    <row r="12" spans="1:4" ht="18" customHeight="1" x14ac:dyDescent="0.3">
      <c r="A12" s="62" t="s">
        <v>419</v>
      </c>
      <c r="B12" s="61"/>
      <c r="C12" s="61"/>
      <c r="D12" s="61"/>
    </row>
    <row r="13" spans="1:4" ht="30" customHeight="1" x14ac:dyDescent="0.3">
      <c r="A13" s="2" t="s">
        <v>420</v>
      </c>
      <c r="B13" s="2" t="s">
        <v>152</v>
      </c>
      <c r="C13" s="2" t="s">
        <v>421</v>
      </c>
      <c r="D13" s="2" t="s">
        <v>143</v>
      </c>
    </row>
    <row r="14" spans="1:4" ht="15" customHeight="1" x14ac:dyDescent="0.3">
      <c r="A14" s="24" t="s">
        <v>422</v>
      </c>
      <c r="B14" s="25">
        <v>10125</v>
      </c>
      <c r="C14" s="28" t="s">
        <v>423</v>
      </c>
    </row>
    <row r="15" spans="1:4" ht="15" customHeight="1" x14ac:dyDescent="0.3">
      <c r="A15" s="24" t="s">
        <v>424</v>
      </c>
      <c r="B15" s="25">
        <v>10125</v>
      </c>
      <c r="C15" s="28" t="s">
        <v>423</v>
      </c>
    </row>
    <row r="16" spans="1:4" ht="15" customHeight="1" x14ac:dyDescent="0.3">
      <c r="A16" s="23" t="s">
        <v>425</v>
      </c>
      <c r="B16" s="27">
        <v>10125</v>
      </c>
      <c r="C16" s="23" t="s">
        <v>423</v>
      </c>
      <c r="D16" s="23"/>
    </row>
    <row r="17" spans="1:4" ht="15" customHeight="1" x14ac:dyDescent="0.3">
      <c r="A17" s="23" t="s">
        <v>119</v>
      </c>
      <c r="B17" s="27">
        <v>10125</v>
      </c>
      <c r="C17" s="23" t="s">
        <v>423</v>
      </c>
      <c r="D17" s="23"/>
    </row>
    <row r="18" spans="1:4" ht="15" customHeight="1" x14ac:dyDescent="0.3">
      <c r="A18" s="23"/>
      <c r="B18" s="27"/>
      <c r="C18" s="23"/>
      <c r="D18" s="23"/>
    </row>
    <row r="19" spans="1:4" ht="15" customHeight="1" x14ac:dyDescent="0.3">
      <c r="A19" s="23"/>
      <c r="B19" s="27"/>
      <c r="C19" s="23"/>
      <c r="D19" s="23"/>
    </row>
    <row r="20" spans="1:4" ht="15" customHeight="1" x14ac:dyDescent="0.3">
      <c r="A20" s="16" t="s">
        <v>426</v>
      </c>
      <c r="B20" s="15">
        <f>SUM(B14:B19)</f>
        <v>40500</v>
      </c>
      <c r="C20" s="10"/>
    </row>
    <row r="21" spans="1:4" ht="15" customHeight="1" x14ac:dyDescent="0.3">
      <c r="A21" s="10"/>
      <c r="B21" s="10"/>
      <c r="C21" s="10"/>
    </row>
    <row r="22" spans="1:4" ht="18" customHeight="1" x14ac:dyDescent="0.3">
      <c r="A22" s="62" t="s">
        <v>427</v>
      </c>
      <c r="B22" s="61"/>
      <c r="C22" s="61"/>
      <c r="D22" s="61"/>
    </row>
    <row r="23" spans="1:4" ht="15" customHeight="1" x14ac:dyDescent="0.3">
      <c r="A23" s="67" t="s">
        <v>428</v>
      </c>
      <c r="B23" s="66"/>
      <c r="C23" s="23" t="s">
        <v>395</v>
      </c>
    </row>
    <row r="24" spans="1:4" ht="15" customHeight="1" x14ac:dyDescent="0.3">
      <c r="A24" s="67" t="s">
        <v>429</v>
      </c>
      <c r="B24" s="66"/>
      <c r="C24" s="23" t="s">
        <v>395</v>
      </c>
    </row>
    <row r="25" spans="1:4" ht="15" customHeight="1" x14ac:dyDescent="0.3">
      <c r="A25" s="67" t="s">
        <v>430</v>
      </c>
      <c r="B25" s="66"/>
      <c r="C25" s="23" t="s">
        <v>395</v>
      </c>
    </row>
    <row r="26" spans="1:4" ht="15" customHeight="1" x14ac:dyDescent="0.3">
      <c r="A26" s="67" t="s">
        <v>431</v>
      </c>
      <c r="B26" s="66"/>
      <c r="C26" s="23" t="s">
        <v>113</v>
      </c>
      <c r="D26" s="1" t="s">
        <v>432</v>
      </c>
    </row>
    <row r="27" spans="1:4" ht="15" customHeight="1" x14ac:dyDescent="0.3">
      <c r="A27" s="67" t="s">
        <v>433</v>
      </c>
      <c r="B27" s="66"/>
      <c r="C27" s="23" t="s">
        <v>113</v>
      </c>
    </row>
  </sheetData>
  <mergeCells count="14">
    <mergeCell ref="A27:B27"/>
    <mergeCell ref="A8:B8"/>
    <mergeCell ref="A6:B6"/>
    <mergeCell ref="A1:D1"/>
    <mergeCell ref="A26:B26"/>
    <mergeCell ref="A24:B24"/>
    <mergeCell ref="A7:B7"/>
    <mergeCell ref="A22:D22"/>
    <mergeCell ref="A25:B25"/>
    <mergeCell ref="A12:D12"/>
    <mergeCell ref="A4:D4"/>
    <mergeCell ref="A3:D3"/>
    <mergeCell ref="A5:B5"/>
    <mergeCell ref="A23:B2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C00-000000000000}">
          <x14:formula1>
            <xm:f>Lists!$B$2:$B$4</xm:f>
          </x14:formula1>
          <x14:formula2>
            <xm:f>0</xm:f>
          </x14:formula2>
          <xm:sqref>C26:C27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72C4"/>
  </sheetPr>
  <dimension ref="A1:D19"/>
  <sheetViews>
    <sheetView showGridLines="0" zoomScaleNormal="100" workbookViewId="0">
      <pane ySplit="3" topLeftCell="A4" activePane="bottomLeft" state="frozen"/>
      <selection pane="bottomLeft"/>
    </sheetView>
  </sheetViews>
  <sheetFormatPr defaultColWidth="8.6640625" defaultRowHeight="14.4" x14ac:dyDescent="0.3"/>
  <cols>
    <col min="1" max="1" width="36" customWidth="1"/>
    <col min="2" max="2" width="16" customWidth="1"/>
    <col min="3" max="3" width="34" customWidth="1"/>
    <col min="4" max="4" width="24" customWidth="1"/>
  </cols>
  <sheetData>
    <row r="1" spans="1:4" ht="25.5" customHeight="1" x14ac:dyDescent="0.3">
      <c r="A1" s="57" t="s">
        <v>434</v>
      </c>
      <c r="B1" s="54"/>
      <c r="C1" s="54"/>
      <c r="D1" s="54"/>
    </row>
    <row r="3" spans="1:4" ht="18" customHeight="1" x14ac:dyDescent="0.3">
      <c r="A3" s="53" t="s">
        <v>435</v>
      </c>
      <c r="B3" s="54"/>
      <c r="C3" s="54"/>
      <c r="D3" s="54"/>
    </row>
    <row r="4" spans="1:4" ht="15" customHeight="1" x14ac:dyDescent="0.3">
      <c r="A4" s="67" t="s">
        <v>436</v>
      </c>
      <c r="B4" s="66"/>
      <c r="C4" s="27">
        <v>65000</v>
      </c>
    </row>
    <row r="5" spans="1:4" ht="15" customHeight="1" x14ac:dyDescent="0.3">
      <c r="A5" s="67" t="s">
        <v>437</v>
      </c>
      <c r="B5" s="66"/>
      <c r="C5" s="46">
        <v>3000000</v>
      </c>
    </row>
    <row r="6" spans="1:4" ht="53.25" customHeight="1" x14ac:dyDescent="0.3">
      <c r="A6" s="36" t="s">
        <v>438</v>
      </c>
      <c r="B6" s="10"/>
      <c r="C6" s="10"/>
    </row>
    <row r="7" spans="1:4" ht="15" customHeight="1" x14ac:dyDescent="0.3">
      <c r="A7" s="67" t="s">
        <v>439</v>
      </c>
      <c r="B7" s="66"/>
      <c r="C7" s="27">
        <v>240000</v>
      </c>
    </row>
    <row r="8" spans="1:4" ht="15" customHeight="1" x14ac:dyDescent="0.3">
      <c r="A8" s="67" t="s">
        <v>440</v>
      </c>
      <c r="B8" s="66"/>
      <c r="C8" s="23" t="s">
        <v>113</v>
      </c>
    </row>
    <row r="9" spans="1:4" ht="15" customHeight="1" x14ac:dyDescent="0.3">
      <c r="A9" s="16" t="s">
        <v>441</v>
      </c>
      <c r="B9" s="10"/>
      <c r="C9" s="15">
        <f>C4*IF(C8="Yes",0.35,0.15)</f>
        <v>22750</v>
      </c>
    </row>
    <row r="10" spans="1:4" ht="15" customHeight="1" x14ac:dyDescent="0.3">
      <c r="A10" s="10"/>
      <c r="B10" s="10"/>
      <c r="C10" s="10"/>
    </row>
    <row r="11" spans="1:4" ht="18" customHeight="1" x14ac:dyDescent="0.3">
      <c r="A11" s="62" t="s">
        <v>442</v>
      </c>
      <c r="B11" s="61"/>
      <c r="C11" s="61"/>
      <c r="D11" s="61"/>
    </row>
    <row r="12" spans="1:4" ht="21.75" customHeight="1" x14ac:dyDescent="0.3">
      <c r="A12" s="63" t="s">
        <v>443</v>
      </c>
      <c r="B12" s="61"/>
      <c r="C12" s="61"/>
      <c r="D12" s="61"/>
    </row>
    <row r="13" spans="1:4" ht="15" customHeight="1" x14ac:dyDescent="0.3">
      <c r="A13" s="67" t="s">
        <v>444</v>
      </c>
      <c r="B13" s="66"/>
      <c r="C13" s="23" t="s">
        <v>445</v>
      </c>
    </row>
    <row r="14" spans="1:4" ht="15" customHeight="1" x14ac:dyDescent="0.3">
      <c r="A14" s="67" t="s">
        <v>446</v>
      </c>
      <c r="B14" s="66"/>
      <c r="C14" s="27">
        <v>9750</v>
      </c>
    </row>
    <row r="15" spans="1:4" ht="15" customHeight="1" x14ac:dyDescent="0.3">
      <c r="A15" s="10"/>
      <c r="B15" s="10"/>
      <c r="C15" s="10"/>
    </row>
    <row r="16" spans="1:4" ht="18" customHeight="1" x14ac:dyDescent="0.3">
      <c r="A16" s="62" t="s">
        <v>447</v>
      </c>
      <c r="B16" s="61"/>
      <c r="C16" s="61"/>
      <c r="D16" s="61"/>
    </row>
    <row r="17" spans="1:4" ht="30" customHeight="1" x14ac:dyDescent="0.3">
      <c r="A17" s="2" t="s">
        <v>448</v>
      </c>
      <c r="B17" s="2" t="s">
        <v>449</v>
      </c>
      <c r="C17" s="2" t="s">
        <v>450</v>
      </c>
      <c r="D17" s="2" t="s">
        <v>143</v>
      </c>
    </row>
    <row r="18" spans="1:4" ht="42.75" customHeight="1" x14ac:dyDescent="0.3">
      <c r="A18" s="24">
        <v>2025</v>
      </c>
      <c r="B18" s="25">
        <v>8000</v>
      </c>
      <c r="C18" s="8">
        <f>A18+5</f>
        <v>2030</v>
      </c>
      <c r="D18" s="12" t="s">
        <v>451</v>
      </c>
    </row>
    <row r="19" spans="1:4" ht="15" customHeight="1" x14ac:dyDescent="0.3">
      <c r="A19" s="23"/>
      <c r="B19" s="27"/>
      <c r="C19" s="8">
        <f>IF(A19=0,0,A19+5)</f>
        <v>0</v>
      </c>
    </row>
  </sheetData>
  <mergeCells count="11">
    <mergeCell ref="A13:B13"/>
    <mergeCell ref="A14:B14"/>
    <mergeCell ref="A16:D16"/>
    <mergeCell ref="A11:D11"/>
    <mergeCell ref="A8:B8"/>
    <mergeCell ref="A4:B4"/>
    <mergeCell ref="A1:D1"/>
    <mergeCell ref="A7:B7"/>
    <mergeCell ref="A12:D12"/>
    <mergeCell ref="A3:D3"/>
    <mergeCell ref="A5:B5"/>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D00-000000000000}">
          <x14:formula1>
            <xm:f>Lists!$B$2:$B$4</xm:f>
          </x14:formula1>
          <x14:formula2>
            <xm:f>0</xm:f>
          </x14:formula2>
          <xm:sqref>C8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sheetPr>
  <dimension ref="A1:H18"/>
  <sheetViews>
    <sheetView showGridLines="0" zoomScaleNormal="100" workbookViewId="0">
      <pane ySplit="3" topLeftCell="A4" activePane="bottomLeft" state="frozen"/>
      <selection pane="bottomLeft"/>
    </sheetView>
  </sheetViews>
  <sheetFormatPr defaultColWidth="8.6640625" defaultRowHeight="14.4" x14ac:dyDescent="0.3"/>
  <cols>
    <col min="1" max="1" width="22" customWidth="1"/>
    <col min="2" max="2" width="20" customWidth="1"/>
    <col min="3" max="6" width="14" customWidth="1"/>
    <col min="7" max="7" width="16" customWidth="1"/>
    <col min="8" max="8" width="24" customWidth="1"/>
  </cols>
  <sheetData>
    <row r="1" spans="1:8" ht="25.5" customHeight="1" x14ac:dyDescent="0.3">
      <c r="A1" s="57" t="s">
        <v>452</v>
      </c>
      <c r="B1" s="54"/>
      <c r="C1" s="54"/>
      <c r="D1" s="54"/>
      <c r="E1" s="54"/>
      <c r="F1" s="54"/>
      <c r="G1" s="54"/>
      <c r="H1" s="54"/>
    </row>
    <row r="3" spans="1:8" ht="18" customHeight="1" x14ac:dyDescent="0.3">
      <c r="A3" s="53" t="s">
        <v>453</v>
      </c>
      <c r="B3" s="54"/>
      <c r="C3" s="54"/>
      <c r="D3" s="54"/>
      <c r="E3" s="54"/>
      <c r="F3" s="54"/>
      <c r="G3" s="54"/>
      <c r="H3" s="54"/>
    </row>
    <row r="4" spans="1:8" ht="30" customHeight="1" x14ac:dyDescent="0.3">
      <c r="A4" s="2" t="s">
        <v>454</v>
      </c>
      <c r="B4" s="2" t="s">
        <v>455</v>
      </c>
      <c r="C4" s="2" t="s">
        <v>456</v>
      </c>
      <c r="D4" s="2" t="s">
        <v>457</v>
      </c>
      <c r="E4" s="2" t="s">
        <v>458</v>
      </c>
      <c r="F4" s="2" t="s">
        <v>459</v>
      </c>
      <c r="G4" s="2" t="s">
        <v>460</v>
      </c>
      <c r="H4" s="2" t="s">
        <v>143</v>
      </c>
    </row>
    <row r="5" spans="1:8" ht="45.75" customHeight="1" x14ac:dyDescent="0.3">
      <c r="A5" s="24" t="s">
        <v>98</v>
      </c>
      <c r="B5" s="28" t="s">
        <v>331</v>
      </c>
      <c r="C5" s="25">
        <v>1000000</v>
      </c>
      <c r="D5" s="25">
        <v>35000</v>
      </c>
      <c r="E5" s="25">
        <v>18000</v>
      </c>
      <c r="F5" s="25">
        <v>6200</v>
      </c>
      <c r="G5" s="28" t="s">
        <v>461</v>
      </c>
      <c r="H5" s="30" t="s">
        <v>462</v>
      </c>
    </row>
    <row r="6" spans="1:8" ht="15" customHeight="1" x14ac:dyDescent="0.3">
      <c r="A6" s="23"/>
      <c r="B6" s="23"/>
      <c r="C6" s="27"/>
      <c r="D6" s="27"/>
      <c r="E6" s="27"/>
      <c r="F6" s="27"/>
      <c r="G6" s="23"/>
      <c r="H6" s="23"/>
    </row>
    <row r="7" spans="1:8" ht="15" customHeight="1" x14ac:dyDescent="0.3">
      <c r="A7" s="23"/>
      <c r="B7" s="23"/>
      <c r="C7" s="27"/>
      <c r="D7" s="27"/>
      <c r="E7" s="27"/>
      <c r="F7" s="27"/>
      <c r="G7" s="23"/>
      <c r="H7" s="23"/>
    </row>
    <row r="8" spans="1:8" ht="15" customHeight="1" x14ac:dyDescent="0.3">
      <c r="A8" s="10"/>
      <c r="B8" s="10"/>
      <c r="C8" s="10"/>
      <c r="D8" s="10"/>
      <c r="E8" s="10"/>
      <c r="F8" s="10"/>
      <c r="G8" s="10"/>
      <c r="H8" s="10"/>
    </row>
    <row r="9" spans="1:8" ht="18" customHeight="1" x14ac:dyDescent="0.3">
      <c r="A9" s="68" t="s">
        <v>463</v>
      </c>
      <c r="B9" s="61"/>
      <c r="C9" s="61"/>
      <c r="D9" s="61"/>
      <c r="E9" s="61"/>
      <c r="F9" s="61"/>
      <c r="G9" s="61"/>
      <c r="H9" s="66"/>
    </row>
    <row r="10" spans="1:8" ht="30" customHeight="1" x14ac:dyDescent="0.3">
      <c r="A10" s="2" t="s">
        <v>464</v>
      </c>
      <c r="B10" s="2" t="s">
        <v>465</v>
      </c>
      <c r="C10" s="2" t="s">
        <v>152</v>
      </c>
      <c r="D10" s="2" t="s">
        <v>466</v>
      </c>
      <c r="E10" s="2"/>
      <c r="F10" s="2"/>
      <c r="G10" s="2"/>
      <c r="H10" s="2" t="s">
        <v>143</v>
      </c>
    </row>
    <row r="11" spans="1:8" ht="15" customHeight="1" x14ac:dyDescent="0.3">
      <c r="A11" s="23" t="s">
        <v>467</v>
      </c>
      <c r="B11" s="23" t="s">
        <v>468</v>
      </c>
      <c r="C11" s="27">
        <v>0</v>
      </c>
      <c r="D11" s="27">
        <v>0</v>
      </c>
      <c r="E11" s="10"/>
      <c r="F11" s="10"/>
      <c r="G11" s="10"/>
      <c r="H11" s="78" t="s">
        <v>469</v>
      </c>
    </row>
    <row r="12" spans="1:8" ht="15" customHeight="1" x14ac:dyDescent="0.3">
      <c r="A12" s="23"/>
      <c r="B12" s="23"/>
      <c r="C12" s="27"/>
      <c r="D12" s="27"/>
      <c r="E12" s="10"/>
      <c r="F12" s="10"/>
      <c r="G12" s="10"/>
      <c r="H12" s="79"/>
    </row>
    <row r="13" spans="1:8" ht="15" customHeight="1" x14ac:dyDescent="0.3">
      <c r="A13" s="10"/>
      <c r="B13" s="10"/>
      <c r="C13" s="10"/>
      <c r="D13" s="10"/>
      <c r="E13" s="10"/>
      <c r="F13" s="10"/>
      <c r="G13" s="10"/>
      <c r="H13" s="80"/>
    </row>
    <row r="14" spans="1:8" ht="18" customHeight="1" x14ac:dyDescent="0.3">
      <c r="A14" s="68" t="s">
        <v>470</v>
      </c>
      <c r="B14" s="61"/>
      <c r="C14" s="61"/>
      <c r="D14" s="61"/>
      <c r="E14" s="61"/>
      <c r="F14" s="61"/>
      <c r="G14" s="61"/>
      <c r="H14" s="66"/>
    </row>
    <row r="15" spans="1:8" ht="15" customHeight="1" x14ac:dyDescent="0.3">
      <c r="A15" s="78" t="s">
        <v>471</v>
      </c>
      <c r="B15" s="61"/>
      <c r="C15" s="61"/>
      <c r="D15" s="61"/>
      <c r="E15" s="61"/>
      <c r="F15" s="61"/>
      <c r="G15" s="61"/>
      <c r="H15" s="66"/>
    </row>
    <row r="16" spans="1:8" ht="15" customHeight="1" x14ac:dyDescent="0.3">
      <c r="A16" s="70" t="s">
        <v>472</v>
      </c>
      <c r="B16" s="71"/>
      <c r="C16" s="71"/>
      <c r="D16" s="71"/>
      <c r="E16" s="71"/>
      <c r="F16" s="71"/>
      <c r="G16" s="71"/>
      <c r="H16" s="72"/>
    </row>
    <row r="17" spans="1:8" ht="15" customHeight="1" x14ac:dyDescent="0.3">
      <c r="A17" s="73"/>
      <c r="B17" s="54"/>
      <c r="C17" s="54"/>
      <c r="D17" s="54"/>
      <c r="E17" s="54"/>
      <c r="F17" s="54"/>
      <c r="G17" s="54"/>
      <c r="H17" s="74"/>
    </row>
    <row r="18" spans="1:8" ht="15" customHeight="1" x14ac:dyDescent="0.3">
      <c r="A18" s="75"/>
      <c r="B18" s="76"/>
      <c r="C18" s="76"/>
      <c r="D18" s="76"/>
      <c r="E18" s="76"/>
      <c r="F18" s="76"/>
      <c r="G18" s="76"/>
      <c r="H18" s="77"/>
    </row>
  </sheetData>
  <mergeCells count="7">
    <mergeCell ref="A1:H1"/>
    <mergeCell ref="A9:H9"/>
    <mergeCell ref="A3:H3"/>
    <mergeCell ref="A16:H18"/>
    <mergeCell ref="A15:H15"/>
    <mergeCell ref="H11:H13"/>
    <mergeCell ref="A14:H1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9"/>
  <sheetViews>
    <sheetView showGridLines="0" zoomScaleNormal="100" workbookViewId="0">
      <pane ySplit="4" topLeftCell="A5" activePane="bottomLeft" state="frozen"/>
      <selection pane="bottomLeft"/>
    </sheetView>
  </sheetViews>
  <sheetFormatPr defaultColWidth="8.6640625" defaultRowHeight="14.4" x14ac:dyDescent="0.3"/>
  <cols>
    <col min="1" max="1" width="22" customWidth="1"/>
    <col min="2" max="3" width="14" customWidth="1"/>
    <col min="4" max="4" width="16" customWidth="1"/>
    <col min="5" max="5" width="14" customWidth="1"/>
    <col min="6" max="6" width="12" customWidth="1"/>
    <col min="7" max="7" width="34" customWidth="1"/>
  </cols>
  <sheetData>
    <row r="1" spans="1:7" ht="25.5" customHeight="1" x14ac:dyDescent="0.3">
      <c r="A1" s="57" t="s">
        <v>473</v>
      </c>
      <c r="B1" s="54"/>
      <c r="C1" s="54"/>
      <c r="D1" s="54"/>
      <c r="E1" s="54"/>
      <c r="F1" s="54"/>
      <c r="G1" s="54"/>
    </row>
    <row r="2" spans="1:7" ht="24" customHeight="1" x14ac:dyDescent="0.3">
      <c r="A2" s="56" t="s">
        <v>474</v>
      </c>
      <c r="B2" s="54"/>
      <c r="C2" s="54"/>
      <c r="D2" s="54"/>
      <c r="E2" s="54"/>
      <c r="F2" s="54"/>
      <c r="G2" s="54"/>
    </row>
    <row r="4" spans="1:7" ht="30" customHeight="1" x14ac:dyDescent="0.3">
      <c r="A4" s="2" t="s">
        <v>136</v>
      </c>
      <c r="B4" s="2" t="s">
        <v>475</v>
      </c>
      <c r="C4" s="2" t="s">
        <v>476</v>
      </c>
      <c r="D4" s="2" t="s">
        <v>477</v>
      </c>
      <c r="E4" s="2" t="s">
        <v>478</v>
      </c>
      <c r="F4" s="2" t="s">
        <v>479</v>
      </c>
      <c r="G4" s="2" t="s">
        <v>143</v>
      </c>
    </row>
    <row r="5" spans="1:7" ht="21.75" customHeight="1" x14ac:dyDescent="0.3">
      <c r="A5" s="47" t="s">
        <v>109</v>
      </c>
      <c r="B5" s="48">
        <v>0.23</v>
      </c>
      <c r="C5" s="48">
        <v>0.11</v>
      </c>
      <c r="D5" s="49">
        <v>500000</v>
      </c>
      <c r="E5" s="47" t="s">
        <v>480</v>
      </c>
      <c r="F5" s="50">
        <v>0.05</v>
      </c>
      <c r="G5" s="36" t="s">
        <v>481</v>
      </c>
    </row>
    <row r="6" spans="1:7" ht="21.75" customHeight="1" x14ac:dyDescent="0.3">
      <c r="A6" s="47" t="s">
        <v>482</v>
      </c>
      <c r="B6" s="48">
        <v>0.27</v>
      </c>
      <c r="C6" s="48">
        <v>0.11</v>
      </c>
      <c r="D6" s="49">
        <v>500000</v>
      </c>
      <c r="E6" s="47" t="s">
        <v>483</v>
      </c>
      <c r="F6" s="50">
        <v>0.05</v>
      </c>
      <c r="G6" s="36" t="s">
        <v>484</v>
      </c>
    </row>
    <row r="7" spans="1:7" ht="15" customHeight="1" x14ac:dyDescent="0.3">
      <c r="A7" s="47" t="s">
        <v>485</v>
      </c>
      <c r="B7" s="48">
        <v>0.27</v>
      </c>
      <c r="C7" s="48">
        <v>0.1</v>
      </c>
      <c r="D7" s="49">
        <v>500000</v>
      </c>
      <c r="E7" s="47" t="s">
        <v>486</v>
      </c>
      <c r="F7" s="50">
        <v>0.05</v>
      </c>
      <c r="G7" s="36" t="s">
        <v>487</v>
      </c>
    </row>
    <row r="8" spans="1:7" ht="21.75" customHeight="1" x14ac:dyDescent="0.3">
      <c r="A8" s="47" t="s">
        <v>488</v>
      </c>
      <c r="B8" s="48">
        <v>0.27</v>
      </c>
      <c r="C8" s="48">
        <v>0.09</v>
      </c>
      <c r="D8" s="49">
        <v>500000</v>
      </c>
      <c r="E8" s="47" t="s">
        <v>489</v>
      </c>
      <c r="F8" s="50">
        <v>0.05</v>
      </c>
      <c r="G8" s="36" t="s">
        <v>490</v>
      </c>
    </row>
    <row r="9" spans="1:7" ht="21.75" customHeight="1" x14ac:dyDescent="0.3">
      <c r="A9" s="47" t="s">
        <v>374</v>
      </c>
      <c r="B9" s="48">
        <v>0.26500000000000001</v>
      </c>
      <c r="C9" s="48">
        <v>0.122</v>
      </c>
      <c r="D9" s="49">
        <v>500000</v>
      </c>
      <c r="E9" s="47" t="s">
        <v>491</v>
      </c>
      <c r="F9" s="50">
        <v>0.13</v>
      </c>
      <c r="G9" s="36" t="s">
        <v>492</v>
      </c>
    </row>
    <row r="10" spans="1:7" ht="21.75" customHeight="1" x14ac:dyDescent="0.3">
      <c r="A10" s="47" t="s">
        <v>493</v>
      </c>
      <c r="B10" s="48">
        <v>0.26500000000000001</v>
      </c>
      <c r="C10" s="48">
        <v>0.122</v>
      </c>
      <c r="D10" s="49">
        <v>500000</v>
      </c>
      <c r="E10" s="47" t="s">
        <v>494</v>
      </c>
      <c r="F10" s="50">
        <v>0.14974999999999999</v>
      </c>
      <c r="G10" s="36" t="s">
        <v>495</v>
      </c>
    </row>
    <row r="11" spans="1:7" ht="15" customHeight="1" x14ac:dyDescent="0.3">
      <c r="A11" s="47" t="s">
        <v>496</v>
      </c>
      <c r="B11" s="48">
        <v>0.28999999999999998</v>
      </c>
      <c r="C11" s="48">
        <v>0.115</v>
      </c>
      <c r="D11" s="49">
        <v>500000</v>
      </c>
      <c r="E11" s="47" t="s">
        <v>491</v>
      </c>
      <c r="F11" s="50">
        <v>0.15</v>
      </c>
      <c r="G11" s="36"/>
    </row>
    <row r="12" spans="1:7" ht="21.75" customHeight="1" x14ac:dyDescent="0.3">
      <c r="A12" s="47" t="s">
        <v>497</v>
      </c>
      <c r="B12" s="48">
        <v>0.28999999999999998</v>
      </c>
      <c r="C12" s="48">
        <v>0.115</v>
      </c>
      <c r="D12" s="49">
        <v>500000</v>
      </c>
      <c r="E12" s="47" t="s">
        <v>491</v>
      </c>
      <c r="F12" s="50">
        <v>0.14000000000000001</v>
      </c>
      <c r="G12" s="36" t="s">
        <v>498</v>
      </c>
    </row>
    <row r="13" spans="1:7" ht="21.75" customHeight="1" x14ac:dyDescent="0.3">
      <c r="A13" s="47" t="s">
        <v>499</v>
      </c>
      <c r="B13" s="48">
        <v>0.31</v>
      </c>
      <c r="C13" s="48">
        <v>0.1</v>
      </c>
      <c r="D13" s="49">
        <v>500000</v>
      </c>
      <c r="E13" s="47" t="s">
        <v>491</v>
      </c>
      <c r="F13" s="50">
        <v>0.15</v>
      </c>
      <c r="G13" s="36" t="s">
        <v>500</v>
      </c>
    </row>
    <row r="14" spans="1:7" ht="21.75" customHeight="1" x14ac:dyDescent="0.3">
      <c r="A14" s="47" t="s">
        <v>501</v>
      </c>
      <c r="B14" s="48">
        <v>0.3</v>
      </c>
      <c r="C14" s="48">
        <v>0.115</v>
      </c>
      <c r="D14" s="49">
        <v>500000</v>
      </c>
      <c r="E14" s="47" t="s">
        <v>491</v>
      </c>
      <c r="F14" s="50">
        <v>0.15</v>
      </c>
      <c r="G14" s="36" t="s">
        <v>500</v>
      </c>
    </row>
    <row r="15" spans="1:7" ht="15" customHeight="1" x14ac:dyDescent="0.3">
      <c r="A15" s="47" t="s">
        <v>502</v>
      </c>
      <c r="B15" s="48">
        <v>0.27</v>
      </c>
      <c r="C15" s="48">
        <v>0.09</v>
      </c>
      <c r="D15" s="49">
        <v>500000</v>
      </c>
      <c r="E15" s="47" t="s">
        <v>480</v>
      </c>
      <c r="F15" s="50">
        <v>0.05</v>
      </c>
      <c r="G15" s="36" t="s">
        <v>503</v>
      </c>
    </row>
    <row r="16" spans="1:7" ht="15" customHeight="1" x14ac:dyDescent="0.3">
      <c r="A16" s="47" t="s">
        <v>504</v>
      </c>
      <c r="B16" s="48">
        <v>0.26500000000000001</v>
      </c>
      <c r="C16" s="48">
        <v>0.11</v>
      </c>
      <c r="D16" s="49">
        <v>500000</v>
      </c>
      <c r="E16" s="47" t="s">
        <v>480</v>
      </c>
      <c r="F16" s="50">
        <v>0.05</v>
      </c>
      <c r="G16" s="36"/>
    </row>
    <row r="17" spans="1:7" ht="15" customHeight="1" x14ac:dyDescent="0.3">
      <c r="A17" s="47" t="s">
        <v>505</v>
      </c>
      <c r="B17" s="48">
        <v>0.27</v>
      </c>
      <c r="C17" s="48">
        <v>0.12</v>
      </c>
      <c r="D17" s="49">
        <v>500000</v>
      </c>
      <c r="E17" s="47" t="s">
        <v>480</v>
      </c>
      <c r="F17" s="50">
        <v>0.05</v>
      </c>
      <c r="G17" s="36"/>
    </row>
    <row r="19" spans="1:7" ht="21.75" customHeight="1" x14ac:dyDescent="0.3">
      <c r="A19" s="64" t="s">
        <v>506</v>
      </c>
      <c r="B19" s="54"/>
      <c r="C19" s="54"/>
      <c r="D19" s="54"/>
      <c r="E19" s="54"/>
      <c r="F19" s="54"/>
      <c r="G19" s="54"/>
    </row>
  </sheetData>
  <mergeCells count="3">
    <mergeCell ref="A19:G19"/>
    <mergeCell ref="A2:G2"/>
    <mergeCell ref="A1:G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4"/>
  <sheetViews>
    <sheetView showGridLines="0" zoomScaleNormal="100" workbookViewId="0"/>
  </sheetViews>
  <sheetFormatPr defaultColWidth="8.6640625" defaultRowHeight="14.4" x14ac:dyDescent="0.3"/>
  <cols>
    <col min="1" max="11" width="26" customWidth="1"/>
  </cols>
  <sheetData>
    <row r="1" spans="1:11" ht="15" customHeight="1" x14ac:dyDescent="0.3">
      <c r="A1" s="51" t="s">
        <v>136</v>
      </c>
      <c r="B1" s="51" t="s">
        <v>507</v>
      </c>
      <c r="C1" s="51" t="s">
        <v>285</v>
      </c>
      <c r="D1" s="51" t="s">
        <v>363</v>
      </c>
      <c r="E1" s="51" t="s">
        <v>508</v>
      </c>
      <c r="F1" s="51" t="s">
        <v>329</v>
      </c>
      <c r="G1" s="51" t="s">
        <v>322</v>
      </c>
      <c r="H1" s="51" t="s">
        <v>323</v>
      </c>
      <c r="I1" s="51" t="s">
        <v>509</v>
      </c>
      <c r="J1" s="51" t="s">
        <v>510</v>
      </c>
      <c r="K1" s="51" t="s">
        <v>511</v>
      </c>
    </row>
    <row r="2" spans="1:11" ht="15" customHeight="1" x14ac:dyDescent="0.3">
      <c r="A2" s="4" t="s">
        <v>109</v>
      </c>
      <c r="B2" s="4" t="s">
        <v>113</v>
      </c>
      <c r="C2" s="4" t="s">
        <v>294</v>
      </c>
      <c r="D2" s="4" t="s">
        <v>365</v>
      </c>
      <c r="E2" s="4" t="s">
        <v>512</v>
      </c>
      <c r="F2" s="4" t="s">
        <v>333</v>
      </c>
      <c r="G2" s="4" t="s">
        <v>313</v>
      </c>
      <c r="H2" s="4" t="s">
        <v>332</v>
      </c>
      <c r="I2" s="4" t="s">
        <v>513</v>
      </c>
      <c r="J2" s="4" t="s">
        <v>182</v>
      </c>
      <c r="K2" s="4" t="s">
        <v>514</v>
      </c>
    </row>
    <row r="3" spans="1:11" ht="15" customHeight="1" x14ac:dyDescent="0.3">
      <c r="A3" s="4" t="s">
        <v>482</v>
      </c>
      <c r="B3" s="4" t="s">
        <v>122</v>
      </c>
      <c r="C3" s="4" t="s">
        <v>296</v>
      </c>
      <c r="D3" s="4" t="s">
        <v>515</v>
      </c>
      <c r="E3" s="4" t="s">
        <v>390</v>
      </c>
      <c r="F3" s="4" t="s">
        <v>516</v>
      </c>
      <c r="G3" s="4" t="s">
        <v>336</v>
      </c>
      <c r="H3" s="4" t="s">
        <v>337</v>
      </c>
      <c r="I3" s="4" t="s">
        <v>517</v>
      </c>
      <c r="J3" s="4" t="s">
        <v>180</v>
      </c>
      <c r="K3" s="4" t="s">
        <v>518</v>
      </c>
    </row>
    <row r="4" spans="1:11" ht="15" customHeight="1" x14ac:dyDescent="0.3">
      <c r="A4" s="4" t="s">
        <v>485</v>
      </c>
      <c r="B4" s="4" t="s">
        <v>519</v>
      </c>
      <c r="C4" s="4" t="s">
        <v>298</v>
      </c>
      <c r="D4" s="4" t="s">
        <v>520</v>
      </c>
      <c r="E4" s="4" t="s">
        <v>521</v>
      </c>
      <c r="F4" s="4" t="s">
        <v>522</v>
      </c>
      <c r="G4" s="4" t="s">
        <v>523</v>
      </c>
      <c r="H4" s="4" t="s">
        <v>342</v>
      </c>
      <c r="I4" s="4" t="s">
        <v>316</v>
      </c>
      <c r="J4" s="4" t="s">
        <v>190</v>
      </c>
      <c r="K4" s="4" t="s">
        <v>524</v>
      </c>
    </row>
    <row r="5" spans="1:11" ht="15" customHeight="1" x14ac:dyDescent="0.3">
      <c r="A5" s="4" t="s">
        <v>488</v>
      </c>
      <c r="C5" s="4" t="s">
        <v>525</v>
      </c>
      <c r="D5" s="4" t="s">
        <v>526</v>
      </c>
      <c r="F5" s="4" t="s">
        <v>527</v>
      </c>
      <c r="G5" s="4" t="s">
        <v>528</v>
      </c>
      <c r="H5" s="4" t="s">
        <v>529</v>
      </c>
      <c r="I5" s="4" t="s">
        <v>530</v>
      </c>
      <c r="J5" s="4" t="s">
        <v>531</v>
      </c>
    </row>
    <row r="6" spans="1:11" ht="15" customHeight="1" x14ac:dyDescent="0.3">
      <c r="A6" s="4" t="s">
        <v>374</v>
      </c>
      <c r="C6" s="4" t="s">
        <v>532</v>
      </c>
      <c r="F6" s="4" t="s">
        <v>338</v>
      </c>
      <c r="G6" s="4" t="s">
        <v>513</v>
      </c>
      <c r="H6" s="4" t="s">
        <v>533</v>
      </c>
    </row>
    <row r="7" spans="1:11" ht="15" customHeight="1" x14ac:dyDescent="0.3">
      <c r="A7" s="4" t="s">
        <v>493</v>
      </c>
      <c r="C7" s="4" t="s">
        <v>534</v>
      </c>
      <c r="F7" s="4" t="s">
        <v>343</v>
      </c>
      <c r="G7" s="4" t="s">
        <v>535</v>
      </c>
    </row>
    <row r="8" spans="1:11" ht="15" customHeight="1" x14ac:dyDescent="0.3">
      <c r="A8" s="4" t="s">
        <v>496</v>
      </c>
      <c r="C8" s="4" t="s">
        <v>301</v>
      </c>
      <c r="G8" s="4" t="s">
        <v>341</v>
      </c>
    </row>
    <row r="9" spans="1:11" ht="15" customHeight="1" x14ac:dyDescent="0.3">
      <c r="A9" s="4" t="s">
        <v>497</v>
      </c>
      <c r="C9" s="4" t="s">
        <v>299</v>
      </c>
      <c r="G9" s="4" t="s">
        <v>536</v>
      </c>
    </row>
    <row r="10" spans="1:11" ht="15" customHeight="1" x14ac:dyDescent="0.3">
      <c r="A10" s="4" t="s">
        <v>499</v>
      </c>
      <c r="C10" s="4" t="s">
        <v>537</v>
      </c>
    </row>
    <row r="11" spans="1:11" ht="15" customHeight="1" x14ac:dyDescent="0.3">
      <c r="A11" s="4" t="s">
        <v>501</v>
      </c>
      <c r="C11" s="4" t="s">
        <v>538</v>
      </c>
    </row>
    <row r="12" spans="1:11" ht="15" customHeight="1" x14ac:dyDescent="0.3">
      <c r="A12" s="4" t="s">
        <v>502</v>
      </c>
    </row>
    <row r="13" spans="1:11" ht="15" customHeight="1" x14ac:dyDescent="0.3">
      <c r="A13" s="4" t="s">
        <v>504</v>
      </c>
    </row>
    <row r="14" spans="1:11" ht="15" customHeight="1" x14ac:dyDescent="0.3">
      <c r="A14" s="4" t="s">
        <v>505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Dashboard</vt:lpstr>
      <vt:lpstr>1. Entity Setup</vt:lpstr>
      <vt:lpstr>2. Provincial Allocation</vt:lpstr>
      <vt:lpstr>3. Income Statement</vt:lpstr>
      <vt:lpstr>4. Balance Sheet</vt:lpstr>
      <vt:lpstr>5. Prior-Year Tax Attributes</vt:lpstr>
      <vt:lpstr>6. CCA Continuity</vt:lpstr>
      <vt:lpstr>7. Associated Corporations</vt:lpstr>
      <vt:lpstr>8. Shareholders &amp; TOSI</vt:lpstr>
      <vt:lpstr>9. Payroll Register</vt:lpstr>
      <vt:lpstr>10. GST-HST</vt:lpstr>
      <vt:lpstr>11. Instalments &amp; Compliance</vt:lpstr>
      <vt:lpstr>12. Credits &amp; Incentives</vt:lpstr>
      <vt:lpstr>13. Special Items</vt:lpstr>
      <vt:lpstr>Province Rate Reference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Akram Siblee</cp:lastModifiedBy>
  <cp:revision>0</cp:revision>
  <dcterms:created xsi:type="dcterms:W3CDTF">2026-09-08T18:10:13Z</dcterms:created>
  <dcterms:modified xsi:type="dcterms:W3CDTF">2026-10-05T19:47:19Z</dcterms:modified>
  <dc:language>en-US</dc:language>
</cp:coreProperties>
</file>