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tests/fixtures/"/>
    </mc:Choice>
  </mc:AlternateContent>
  <xr:revisionPtr revIDLastSave="21" documentId="11_CE685CBB96285ABD108E2FDED034EC30A0E70B29" xr6:coauthVersionLast="47" xr6:coauthVersionMax="47" xr10:uidLastSave="{7E9830F2-AFA5-438F-A521-B08D195DA3A9}"/>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C10" i="14" s="1"/>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E11" i="4"/>
  <c r="D11" i="4"/>
  <c r="E10" i="4"/>
  <c r="D10" i="4"/>
  <c r="E9" i="4"/>
  <c r="D9" i="4"/>
  <c r="E8" i="4"/>
  <c r="D8" i="4"/>
  <c r="F8" i="4" s="1"/>
  <c r="E7" i="4"/>
  <c r="D7" i="4"/>
  <c r="F7" i="4" s="1"/>
  <c r="E6" i="4"/>
  <c r="D6" i="4"/>
  <c r="E5" i="4"/>
  <c r="D5" i="4"/>
  <c r="F5" i="4" s="1"/>
  <c r="B53" i="2"/>
  <c r="B52" i="2"/>
  <c r="B44" i="2"/>
  <c r="B43" i="2"/>
  <c r="B40" i="2"/>
  <c r="B42" i="2" s="1"/>
  <c r="B38" i="2"/>
  <c r="B8" i="2"/>
  <c r="B7" i="2"/>
  <c r="B6" i="2"/>
  <c r="B5" i="2"/>
  <c r="F11" i="4" l="1"/>
  <c r="F10" i="4"/>
  <c r="F9" i="4"/>
  <c r="F6" i="4"/>
  <c r="F14" i="4" s="1"/>
  <c r="B45" i="2"/>
  <c r="A58" i="2"/>
  <c r="I4" i="8"/>
  <c r="I13" i="8" s="1"/>
  <c r="H13" i="8"/>
  <c r="B51" i="2" s="1"/>
  <c r="B41" i="6"/>
  <c r="E5" i="9" s="1"/>
  <c r="E10" i="9" s="1"/>
  <c r="B19" i="2" s="1"/>
  <c r="B20" i="2" s="1"/>
  <c r="B18" i="2"/>
  <c r="B37" i="2"/>
  <c r="B39" i="2" s="1"/>
  <c r="B41" i="2" s="1"/>
  <c r="C10" i="12"/>
  <c r="C16" i="12" s="1"/>
  <c r="C28" i="12" s="1"/>
  <c r="B15" i="5"/>
  <c r="B32" i="5" s="1"/>
  <c r="B12" i="2"/>
  <c r="B13" i="2" s="1"/>
  <c r="B30" i="2" s="1"/>
  <c r="B11" i="2"/>
  <c r="B25" i="2" l="1"/>
  <c r="B21" i="2"/>
  <c r="B22" i="2" s="1"/>
  <c r="A56" i="2"/>
  <c r="C29" i="12"/>
  <c r="B50" i="2"/>
  <c r="B44" i="5"/>
  <c r="B49" i="5" s="1"/>
  <c r="B47" i="5"/>
  <c r="G5" i="4" l="1"/>
  <c r="G6" i="4"/>
  <c r="G7" i="4"/>
  <c r="G8" i="4"/>
  <c r="G9" i="4"/>
  <c r="G10" i="4"/>
  <c r="G11" i="4"/>
  <c r="G12" i="4"/>
  <c r="B33" i="6"/>
  <c r="B34" i="6" s="1"/>
  <c r="D5" i="9"/>
  <c r="D10" i="9" s="1"/>
  <c r="B16" i="2"/>
  <c r="B37" i="6" l="1"/>
  <c r="B36" i="6"/>
  <c r="B23" i="2"/>
  <c r="B28" i="2" s="1"/>
  <c r="B24" i="2"/>
  <c r="B29" i="2" s="1"/>
  <c r="B31" i="2" l="1"/>
  <c r="B34" i="2" l="1"/>
  <c r="B33" i="2"/>
</calcChain>
</file>

<file path=xl/sharedStrings.xml><?xml version="1.0" encoding="utf-8"?>
<sst xmlns="http://schemas.openxmlformats.org/spreadsheetml/2006/main" count="669" uniqueCount="544">
  <si>
    <t>CCPC Corporate Tax Planning &amp; Compliance Intake Workbook</t>
  </si>
  <si>
    <t>COMPLETED SAMPLE SUBMISSION — Northern Peak Consulting Inc., FY2025 (Alberta CCPC)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</si>
  <si>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</si>
  <si>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</si>
  <si>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</si>
  <si>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</si>
  <si>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</si>
  <si>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</si>
  <si>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</si>
  <si>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</si>
  <si>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</si>
  <si>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</si>
  <si>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</si>
  <si>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</si>
  <si>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</si>
  <si>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</si>
  <si>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</si>
  <si>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</si>
  <si>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</si>
  <si>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</si>
  <si>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</si>
  <si>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</si>
  <si>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</si>
  <si>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</si>
  <si>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</si>
  <si>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</si>
  <si>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</si>
  <si>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</si>
  <si>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</si>
  <si>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</si>
  <si>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</si>
  <si>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</si>
  <si>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</si>
  <si>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</si>
  <si>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</si>
  <si>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</si>
  <si>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</si>
  <si>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</si>
  <si>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</si>
  <si>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</si>
  <si>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</si>
  <si>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</si>
  <si>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</si>
  <si>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</si>
  <si>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</si>
  <si>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Calculated from the completed intake for Northern Peak Consulting Inc., FY2025.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</si>
  <si>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</si>
  <si>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</si>
  <si>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</si>
  <si>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</si>
  <si>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</si>
  <si>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</si>
  <si>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</si>
  <si>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</si>
  <si>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</si>
  <si>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</si>
  <si>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</si>
  <si>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</si>
  <si>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</si>
  <si>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</si>
  <si>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</si>
  <si>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</si>
  <si>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</si>
  <si>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</si>
  <si>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</si>
  <si>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</si>
  <si>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</si>
  <si>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</si>
  <si>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</si>
  <si>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</si>
  <si>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</si>
  <si>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</si>
  <si>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</si>
  <si>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</si>
  <si>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</si>
  <si>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</si>
  <si>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</si>
  <si>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</si>
  <si>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</si>
  <si>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</si>
  <si>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</si>
  <si>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</si>
  <si>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</si>
  <si>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</si>
  <si>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</si>
  <si>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</si>
  <si>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</si>
  <si>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</si>
  <si>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</si>
  <si>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</si>
  <si>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</si>
  <si>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</si>
  <si>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</si>
  <si>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</si>
  <si>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</si>
  <si>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</si>
  <si>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</si>
  <si>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</si>
  <si>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</si>
  <si>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</si>
  <si>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123456789</t>
  </si>
  <si>
    <t>Corporation Program Account (RC)</t>
  </si>
  <si>
    <t>RC0001</t>
  </si>
  <si>
    <t>Incorporation Date</t>
  </si>
  <si>
    <t>2016-04-01</t>
  </si>
  <si>
    <t>Industry / NAICS Code</t>
  </si>
  <si>
    <t>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</si>
  <si>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</si>
  <si>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</si>
  <si>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</si>
  <si>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</si>
  <si>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</si>
  <si>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</si>
  <si>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</si>
  <si>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</si>
  <si>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</si>
  <si>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</si>
  <si>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2025-01-01</t>
  </si>
  <si>
    <t>Fiscal Year End Date</t>
  </si>
  <si>
    <t>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</si>
  <si>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</si>
  <si>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</si>
  <si>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</si>
  <si>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</si>
  <si>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</si>
  <si>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</si>
  <si>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</si>
  <si>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</si>
  <si>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</si>
  <si>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</si>
  <si>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</si>
  <si>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</si>
  <si>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</si>
  <si>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</si>
  <si>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</si>
  <si>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</si>
  <si>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</si>
  <si>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</si>
  <si>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</si>
  <si>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</si>
  <si>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</si>
  <si>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</si>
  <si>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</si>
  <si>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</si>
  <si>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</si>
  <si>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</si>
  <si>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</si>
  <si>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</si>
  <si>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</si>
  <si>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</si>
  <si>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</si>
  <si>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</si>
  <si>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</si>
  <si>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</si>
  <si>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</si>
  <si>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</si>
  <si>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</si>
  <si>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</si>
  <si>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</si>
  <si>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</si>
  <si>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</si>
  <si>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</si>
  <si>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</si>
  <si>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</si>
  <si>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</si>
  <si>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</si>
  <si>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</si>
  <si>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</si>
  <si>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</si>
  <si>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</si>
  <si>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</si>
  <si>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</si>
  <si>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</si>
  <si>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</si>
  <si>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</si>
  <si>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</si>
  <si>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</si>
  <si>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</si>
  <si>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</si>
  <si>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</si>
  <si>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</si>
  <si>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</si>
  <si>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</si>
  <si>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</si>
  <si>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</si>
  <si>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</si>
  <si>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</si>
  <si>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</si>
  <si>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</si>
  <si>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</si>
  <si>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</si>
  <si>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</si>
  <si>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</si>
  <si>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</si>
  <si>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</si>
  <si>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</si>
  <si>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</si>
  <si>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</si>
  <si>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</si>
  <si>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</si>
  <si>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</si>
  <si>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</si>
  <si>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</si>
  <si>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</si>
  <si>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</si>
  <si>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</si>
  <si>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</si>
  <si>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</si>
  <si>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</si>
  <si>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</si>
  <si>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</si>
  <si>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</si>
  <si>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</si>
  <si>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</si>
  <si>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</si>
  <si>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</si>
  <si>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</si>
  <si>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</si>
  <si>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</si>
  <si>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</si>
  <si>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</si>
  <si>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</si>
  <si>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</si>
  <si>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</si>
  <si>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</si>
  <si>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</si>
  <si>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</si>
  <si>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</si>
  <si>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</si>
  <si>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</si>
  <si>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</si>
  <si>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</si>
  <si>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</si>
  <si>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</si>
  <si>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</si>
  <si>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</si>
  <si>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</si>
  <si>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</si>
  <si>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</si>
  <si>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</si>
  <si>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</si>
  <si>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</si>
  <si>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</si>
  <si>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</si>
  <si>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</si>
  <si>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</si>
  <si>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</si>
  <si>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</si>
  <si>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</si>
  <si>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</si>
  <si>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</si>
  <si>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</si>
  <si>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</si>
  <si>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</si>
  <si>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</si>
  <si>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</si>
  <si>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</si>
  <si>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</si>
  <si>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</si>
  <si>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</si>
  <si>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</si>
  <si>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</si>
  <si>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</si>
  <si>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</si>
  <si>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</si>
  <si>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</si>
  <si>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</si>
  <si>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</si>
  <si>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</si>
  <si>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</si>
  <si>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</si>
  <si>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</si>
  <si>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</si>
  <si>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</si>
  <si>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</si>
  <si>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</si>
  <si>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</si>
  <si>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</si>
  <si>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</si>
  <si>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</si>
  <si>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</si>
  <si>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</si>
  <si>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</si>
  <si>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</si>
  <si>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</si>
  <si>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</si>
  <si>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</si>
  <si>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</si>
  <si>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</si>
  <si>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</si>
  <si>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</si>
  <si>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</si>
  <si>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</si>
  <si>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</si>
  <si>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</si>
  <si>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</si>
  <si>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</si>
  <si>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</si>
  <si>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</si>
  <si>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</si>
  <si>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</si>
  <si>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</si>
  <si>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</si>
  <si>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</si>
  <si>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</si>
  <si>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</si>
  <si>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</si>
  <si>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</si>
  <si>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</si>
  <si>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</si>
  <si>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</si>
  <si>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</si>
  <si>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</si>
  <si>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</si>
  <si>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</si>
  <si>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</si>
  <si>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</si>
  <si>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</si>
  <si>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</si>
  <si>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</si>
  <si>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</si>
  <si>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</si>
  <si>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</si>
  <si>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</si>
  <si>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</si>
  <si>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</si>
  <si>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</si>
  <si>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</si>
  <si>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</si>
  <si>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</si>
  <si>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</si>
  <si>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</si>
  <si>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</si>
  <si>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</si>
  <si>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</si>
  <si>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</si>
  <si>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</si>
  <si>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</si>
  <si>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</si>
  <si>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</si>
  <si>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</si>
  <si>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</si>
  <si>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</si>
  <si>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</si>
  <si>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</si>
  <si>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</si>
  <si>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</si>
  <si>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</si>
  <si>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</si>
  <si>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</si>
  <si>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</si>
  <si>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</si>
  <si>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</si>
  <si>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</si>
  <si>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</si>
  <si>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</si>
  <si>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</si>
  <si>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</si>
  <si>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</si>
  <si>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</si>
  <si>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</si>
  <si>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</si>
  <si>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</si>
  <si>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</si>
  <si>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</si>
  <si>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</si>
  <si>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</si>
  <si>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</si>
  <si>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</si>
  <si>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</si>
  <si>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</si>
  <si>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</si>
  <si>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</si>
  <si>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</si>
  <si>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</si>
  <si>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</si>
  <si>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</si>
  <si>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</si>
  <si>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</si>
  <si>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</si>
  <si>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</si>
  <si>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</si>
  <si>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</si>
  <si>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</si>
  <si>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</si>
  <si>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</si>
  <si>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</si>
  <si>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</si>
  <si>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</si>
  <si>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</si>
  <si>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</si>
  <si>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</si>
  <si>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</si>
  <si>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</si>
  <si>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</si>
  <si>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</si>
  <si>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</si>
  <si>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</si>
  <si>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</si>
  <si>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</si>
  <si>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</si>
  <si>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</si>
  <si>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</si>
  <si>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</si>
  <si>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</si>
  <si>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</si>
  <si>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</si>
  <si>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</si>
  <si>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</si>
  <si>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</si>
  <si>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</si>
  <si>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</si>
  <si>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</si>
  <si>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</si>
  <si>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</si>
  <si>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</si>
  <si>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</si>
  <si>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</si>
  <si>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</si>
  <si>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</si>
  <si>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</si>
  <si>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</si>
  <si>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</si>
  <si>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</si>
  <si>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</si>
  <si>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2025-09-30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</si>
  <si>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</si>
  <si>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</si>
  <si>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</si>
  <si>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</si>
  <si>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</si>
  <si>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</si>
  <si>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</si>
  <si>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</si>
  <si>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</si>
  <si>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</si>
  <si>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</si>
  <si>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</si>
  <si>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</si>
  <si>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</si>
  <si>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</si>
  <si>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</si>
  <si>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</si>
  <si>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</si>
  <si>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</si>
  <si>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</si>
  <si>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</si>
  <si>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</si>
  <si>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</si>
  <si>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</si>
  <si>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</si>
  <si>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</si>
  <si>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</si>
  <si>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</si>
  <si>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</si>
  <si>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</si>
  <si>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</si>
  <si>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</si>
  <si>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</si>
  <si>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</si>
  <si>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</si>
  <si>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</si>
  <si>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</si>
  <si>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</si>
  <si>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</si>
  <si>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</si>
  <si>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</si>
  <si>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None</t>
  </si>
  <si>
    <t>N/A</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</si>
  <si>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</si>
  <si>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</si>
  <si>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</si>
  <si>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No reorganization planned or completed in the current fiscal year. Management is monitoring the passive-income grind on the Small Business Deduction and may consider an estate freeze or holding-company restructuring in a future year if investment income continues to grow — to be discussed with the corporation's accountant.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</si>
  <si>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</si>
  <si>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</si>
  <si>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</si>
  <si>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</si>
  <si>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</si>
  <si>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</si>
  <si>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</si>
  <si>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</si>
  <si>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</si>
  <si>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</si>
  <si>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</si>
  <si>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</si>
  <si>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</si>
  <si>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</si>
  <si>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</si>
  <si>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</si>
  <si>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</si>
  <si>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</si>
  <si>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</si>
  <si>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</si>
  <si>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</si>
  <si>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</si>
  <si>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</si>
  <si>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</si>
  <si>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</si>
  <si>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</si>
  <si>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</si>
  <si>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</si>
  <si>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</si>
  <si>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</si>
  <si>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</si>
  <si>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</si>
  <si>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</si>
  <si>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</si>
  <si>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</si>
  <si>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</si>
  <si>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</si>
  <si>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</si>
  <si>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</si>
  <si>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</si>
  <si>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</si>
  <si>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</si>
  <si>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</si>
  <si>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</si>
  <si>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</si>
  <si>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</si>
  <si>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</si>
  <si>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</si>
  <si>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</si>
  <si>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</si>
  <si>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</si>
  <si>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</si>
  <si>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</si>
  <si>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</si>
  <si>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</si>
  <si>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</si>
  <si>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</si>
  <si>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</si>
  <si>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</si>
  <si>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</si>
  <si>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</si>
  <si>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</si>
  <si>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</si>
  <si>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</si>
  <si>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</si>
  <si>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</si>
  <si>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</si>
  <si>
    <t>Refundable Portion of SR&amp;ED ITC ($)</t>
  </si>
  <si>
    <t>Cash-refundable part of the ITC (s.127.1). Defaults to the full ITC when the enhanced 35% rate applies (current expenditures of a CCPC under the expenditure limit). Overwrite with the actual refundable amount if part is non-refundable.</t>
  </si>
  <si>
    <t>Refundable Portion of Provincial Credit ($)</t>
  </si>
  <si>
    <t>Part of the provincial credit paid in cash even with no tax owing (e.g., Alberta Innovation Employment Grant). Leave blank if non-refundable - unused amounts then carry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</si>
</sst>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0"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666699"/>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1">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3" fillId="3" borderId="2" xfId="0" applyFont="1" applyFill="1" applyBorder="1" applyAlignment="1">
      <alignment horizontal="left" vertical="center" indent="1"/>
    </xf>
    <xf numFmtId="0" fontId="4" fillId="0" borderId="1" xfId="0" applyFont="1" applyBorder="1"/>
    <xf numFmtId="0" fontId="7"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7"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9" fillId="4" borderId="1" xfId="0" applyFont="1" applyFill="1" applyBorder="1"/>
    <xf numFmtId="165" fontId="9" fillId="4" borderId="1" xfId="0" applyNumberFormat="1" applyFont="1" applyFill="1" applyBorder="1"/>
    <xf numFmtId="0" fontId="0" fillId="4" borderId="1" xfId="0" applyFill="1" applyBorder="1"/>
    <xf numFmtId="166" fontId="4" fillId="0" borderId="1" xfId="0" applyNumberFormat="1" applyFont="1" applyBorder="1"/>
    <xf numFmtId="0" fontId="8" fillId="0" borderId="1" xfId="0" applyFont="1" applyBorder="1"/>
    <xf numFmtId="166" fontId="7" fillId="0" borderId="1" xfId="0" applyNumberFormat="1" applyFont="1" applyBorder="1"/>
    <xf numFmtId="0" fontId="6" fillId="5" borderId="1" xfId="0" applyFont="1" applyFill="1" applyBorder="1"/>
    <xf numFmtId="0" fontId="6" fillId="0" borderId="1" xfId="0" applyFont="1" applyBorder="1" applyAlignment="1">
      <alignment horizontal="center"/>
    </xf>
    <xf numFmtId="165" fontId="6" fillId="0" borderId="1" xfId="0" applyNumberFormat="1" applyFont="1" applyBorder="1"/>
    <xf numFmtId="0" fontId="2" fillId="0" borderId="1" xfId="0" applyFont="1" applyBorder="1"/>
    <xf numFmtId="165" fontId="6" fillId="5" borderId="1" xfId="0" applyNumberFormat="1" applyFont="1" applyFill="1" applyBorder="1"/>
    <xf numFmtId="0" fontId="6" fillId="0" borderId="1" xfId="0" applyFont="1" applyBorder="1"/>
    <xf numFmtId="0" fontId="0" fillId="5" borderId="1" xfId="0" applyFill="1" applyBorder="1"/>
    <xf numFmtId="0" fontId="6" fillId="0" borderId="1" xfId="0" applyFont="1" applyBorder="1" applyAlignment="1">
      <alignment vertical="top" wrapText="1"/>
    </xf>
    <xf numFmtId="165" fontId="0" fillId="0" borderId="1" xfId="0" applyNumberFormat="1" applyBorder="1"/>
    <xf numFmtId="0" fontId="6" fillId="0" borderId="0" xfId="0" applyFont="1" applyAlignment="1">
      <alignment horizontal="center"/>
    </xf>
    <xf numFmtId="9" fontId="6" fillId="0" borderId="0" xfId="0" applyNumberFormat="1" applyFont="1"/>
    <xf numFmtId="9" fontId="6" fillId="5" borderId="1" xfId="0" applyNumberFormat="1" applyFont="1" applyFill="1" applyBorder="1"/>
    <xf numFmtId="9" fontId="6"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6" fillId="5" borderId="1" xfId="0" applyNumberFormat="1" applyFont="1" applyFill="1" applyBorder="1"/>
    <xf numFmtId="168" fontId="4" fillId="6" borderId="1" xfId="0" applyNumberFormat="1" applyFont="1" applyFill="1" applyBorder="1"/>
    <xf numFmtId="0" fontId="7" fillId="5" borderId="1" xfId="0" applyFont="1" applyFill="1" applyBorder="1"/>
    <xf numFmtId="169" fontId="7" fillId="5" borderId="1" xfId="0" applyNumberFormat="1" applyFont="1" applyFill="1" applyBorder="1"/>
    <xf numFmtId="165" fontId="4" fillId="5" borderId="1" xfId="0" applyNumberFormat="1" applyFont="1" applyFill="1" applyBorder="1"/>
    <xf numFmtId="166" fontId="9"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8"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2" fillId="0" borderId="2" xfId="0" applyFont="1" applyBorder="1" applyAlignment="1">
      <alignment vertical="top" wrapText="1"/>
    </xf>
    <xf numFmtId="0" fontId="0" fillId="0" borderId="4" xfId="0" applyBorder="1"/>
    <xf numFmtId="0" fontId="8" fillId="0" borderId="2" xfId="0" applyFont="1" applyBorder="1" applyAlignment="1">
      <alignment vertical="top" wrapText="1"/>
    </xf>
    <xf numFmtId="0" fontId="3" fillId="3" borderId="2" xfId="0" applyFont="1" applyFill="1" applyBorder="1" applyAlignment="1">
      <alignment horizontal="left" vertical="center" inden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8"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57" t="s">
        <v>0</v>
      </c>
      <c r="B1" s="54"/>
      <c r="C1" s="54"/>
      <c r="D1" s="54"/>
    </row>
    <row r="2" spans="1:4" ht="15" customHeight="1" x14ac:dyDescent="0.3">
      <c r="A2" s="59" t="s">
        <v>1</v>
      </c>
      <c r="B2" s="54"/>
      <c r="C2" s="54"/>
      <c r="D2" s="54"/>
    </row>
    <row r="4" spans="1:4" ht="18" customHeight="1" x14ac:dyDescent="0.3">
      <c r="A4" s="53" t="s">
        <v>2</v>
      </c>
      <c r="B4" s="54"/>
      <c r="C4" s="54"/>
      <c r="D4" s="54"/>
    </row>
    <row r="5" spans="1:4" ht="15" customHeight="1" x14ac:dyDescent="0.3">
      <c r="A5" s="58" t="s">
        <v>3</v>
      </c>
      <c r="B5" s="54"/>
      <c r="C5" s="54"/>
      <c r="D5" s="54"/>
    </row>
    <row r="6" spans="1:4" ht="15" customHeight="1" x14ac:dyDescent="0.3">
      <c r="A6" s="54"/>
      <c r="B6" s="54"/>
      <c r="C6" s="54"/>
      <c r="D6" s="54"/>
    </row>
    <row r="8" spans="1:4" ht="18" customHeight="1" x14ac:dyDescent="0.3">
      <c r="A8" s="53" t="s">
        <v>4</v>
      </c>
      <c r="B8" s="54"/>
      <c r="C8" s="54"/>
      <c r="D8" s="54"/>
    </row>
    <row r="9" spans="1:4" ht="15" customHeight="1" x14ac:dyDescent="0.3">
      <c r="A9" s="58" t="s">
        <v>5</v>
      </c>
      <c r="B9" s="54"/>
      <c r="C9" s="54"/>
      <c r="D9" s="54"/>
    </row>
    <row r="10" spans="1:4" ht="15" customHeight="1" x14ac:dyDescent="0.3">
      <c r="A10" s="54"/>
      <c r="B10" s="54"/>
      <c r="C10" s="54"/>
      <c r="D10" s="54"/>
    </row>
    <row r="11" spans="1:4" ht="15" customHeight="1" x14ac:dyDescent="0.3">
      <c r="A11" s="58" t="s">
        <v>6</v>
      </c>
      <c r="B11" s="54"/>
      <c r="C11" s="54"/>
      <c r="D11" s="54"/>
    </row>
    <row r="12" spans="1:4" ht="15" customHeight="1" x14ac:dyDescent="0.3">
      <c r="A12" s="54"/>
      <c r="B12" s="54"/>
      <c r="C12" s="54"/>
      <c r="D12" s="54"/>
    </row>
    <row r="13" spans="1:4" ht="15" customHeight="1" x14ac:dyDescent="0.3">
      <c r="A13" s="58" t="s">
        <v>7</v>
      </c>
      <c r="B13" s="54"/>
      <c r="C13" s="54"/>
      <c r="D13" s="54"/>
    </row>
    <row r="14" spans="1:4" ht="15" customHeight="1" x14ac:dyDescent="0.3">
      <c r="A14" s="54"/>
      <c r="B14" s="54"/>
      <c r="C14" s="54"/>
      <c r="D14" s="54"/>
    </row>
    <row r="15" spans="1:4" ht="15" customHeight="1" x14ac:dyDescent="0.3">
      <c r="A15" s="58" t="s">
        <v>8</v>
      </c>
      <c r="B15" s="54"/>
      <c r="C15" s="54"/>
      <c r="D15" s="54"/>
    </row>
    <row r="16" spans="1:4" ht="15" customHeight="1" x14ac:dyDescent="0.3">
      <c r="A16" s="54"/>
      <c r="B16" s="54"/>
      <c r="C16" s="54"/>
      <c r="D16" s="54"/>
    </row>
    <row r="17" spans="1:4" ht="15" customHeight="1" x14ac:dyDescent="0.3">
      <c r="A17" s="58" t="s">
        <v>9</v>
      </c>
      <c r="B17" s="54"/>
      <c r="C17" s="54"/>
      <c r="D17" s="54"/>
    </row>
    <row r="18" spans="1:4" ht="15" customHeight="1" x14ac:dyDescent="0.3">
      <c r="A18" s="54"/>
      <c r="B18" s="54"/>
      <c r="C18" s="54"/>
      <c r="D18" s="54"/>
    </row>
    <row r="19" spans="1:4" ht="15" customHeight="1" x14ac:dyDescent="0.3">
      <c r="A19" s="58" t="s">
        <v>10</v>
      </c>
      <c r="B19" s="54"/>
      <c r="C19" s="54"/>
      <c r="D19" s="54"/>
    </row>
    <row r="20" spans="1:4" ht="15" customHeight="1" x14ac:dyDescent="0.3">
      <c r="A20" s="54"/>
      <c r="B20" s="54"/>
      <c r="C20" s="54"/>
      <c r="D20" s="54"/>
    </row>
    <row r="22" spans="1:4" ht="18" customHeight="1" x14ac:dyDescent="0.3">
      <c r="A22" s="53" t="s">
        <v>11</v>
      </c>
      <c r="B22" s="54"/>
      <c r="C22" s="54"/>
      <c r="D22" s="54"/>
    </row>
    <row r="23" spans="1:4" ht="30" customHeight="1" x14ac:dyDescent="0.3">
      <c r="A23" s="2" t="s">
        <v>12</v>
      </c>
      <c r="B23" s="2" t="s">
        <v>13</v>
      </c>
      <c r="C23" s="2"/>
      <c r="D23" s="2"/>
    </row>
    <row r="24" spans="1:4" ht="15" customHeight="1" x14ac:dyDescent="0.3">
      <c r="A24" s="3" t="s">
        <v>14</v>
      </c>
      <c r="B24" s="55" t="s">
        <v>15</v>
      </c>
      <c r="C24" s="54"/>
      <c r="D24" s="54"/>
    </row>
    <row r="25" spans="1:4" ht="15" customHeight="1" x14ac:dyDescent="0.3">
      <c r="A25" s="3" t="s">
        <v>16</v>
      </c>
      <c r="B25" s="55" t="s">
        <v>17</v>
      </c>
      <c r="C25" s="54"/>
      <c r="D25" s="54"/>
    </row>
    <row r="26" spans="1:4" ht="15" customHeight="1" x14ac:dyDescent="0.3">
      <c r="A26" s="3" t="s">
        <v>18</v>
      </c>
      <c r="B26" s="55" t="s">
        <v>19</v>
      </c>
      <c r="C26" s="54"/>
      <c r="D26" s="54"/>
    </row>
    <row r="27" spans="1:4" ht="15" customHeight="1" x14ac:dyDescent="0.3">
      <c r="A27" s="4" t="s">
        <v>20</v>
      </c>
      <c r="B27" s="55" t="s">
        <v>21</v>
      </c>
      <c r="C27" s="54"/>
      <c r="D27" s="54"/>
    </row>
    <row r="28" spans="1:4" ht="15" customHeight="1" x14ac:dyDescent="0.3">
      <c r="A28" s="5" t="s">
        <v>22</v>
      </c>
      <c r="B28" s="55" t="s">
        <v>23</v>
      </c>
      <c r="C28" s="54"/>
      <c r="D28" s="54"/>
    </row>
    <row r="29" spans="1:4" ht="15" customHeight="1" x14ac:dyDescent="0.3">
      <c r="A29" s="6" t="s">
        <v>24</v>
      </c>
      <c r="B29" s="55" t="s">
        <v>25</v>
      </c>
      <c r="C29" s="54"/>
      <c r="D29" s="54"/>
    </row>
    <row r="31" spans="1:4" ht="18" customHeight="1" x14ac:dyDescent="0.3">
      <c r="A31" s="53" t="s">
        <v>26</v>
      </c>
      <c r="B31" s="54"/>
      <c r="C31" s="54"/>
      <c r="D31" s="54"/>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3" t="s">
        <v>42</v>
      </c>
      <c r="B48" s="54"/>
      <c r="C48" s="54"/>
      <c r="D48" s="54"/>
    </row>
    <row r="49" spans="1:4" ht="15" customHeight="1" x14ac:dyDescent="0.3">
      <c r="A49" s="56" t="s">
        <v>43</v>
      </c>
      <c r="B49" s="54"/>
      <c r="C49" s="54"/>
      <c r="D49" s="54"/>
    </row>
    <row r="50" spans="1:4" ht="15" customHeight="1" x14ac:dyDescent="0.3">
      <c r="A50" s="54"/>
      <c r="B50" s="54"/>
      <c r="C50" s="54"/>
      <c r="D50" s="54"/>
    </row>
    <row r="51" spans="1:4" ht="15" customHeight="1" x14ac:dyDescent="0.3">
      <c r="A51" s="54"/>
      <c r="B51" s="54"/>
      <c r="C51" s="54"/>
      <c r="D51" s="54"/>
    </row>
  </sheetData>
  <mergeCells count="21">
    <mergeCell ref="A8:D8"/>
    <mergeCell ref="A22:D22"/>
    <mergeCell ref="A4:D4"/>
    <mergeCell ref="B29:D29"/>
    <mergeCell ref="B28:D28"/>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57" t="s">
        <v>44</v>
      </c>
      <c r="B1" s="54"/>
      <c r="C1" s="54"/>
      <c r="D1" s="54"/>
    </row>
    <row r="2" spans="1:4" ht="21.75" customHeight="1" x14ac:dyDescent="0.3">
      <c r="A2" s="56" t="s">
        <v>45</v>
      </c>
      <c r="B2" s="54"/>
      <c r="C2" s="54"/>
      <c r="D2" s="54"/>
    </row>
    <row r="4" spans="1:4" ht="18" customHeight="1" x14ac:dyDescent="0.3">
      <c r="A4" s="63" t="s">
        <v>46</v>
      </c>
      <c r="B4" s="61"/>
      <c r="C4" s="61"/>
      <c r="D4" s="61"/>
    </row>
    <row r="5" spans="1:4" ht="15" customHeight="1" x14ac:dyDescent="0.3">
      <c r="A5" s="8" t="s">
        <v>47</v>
      </c>
      <c r="B5" s="9" t="str">
        <f>'1. Entity Setup'!C4</f>
        <v>Northern Peak Consulting Inc.</v>
      </c>
    </row>
    <row r="6" spans="1:4" ht="15" customHeight="1" x14ac:dyDescent="0.3">
      <c r="A6" s="8" t="s">
        <v>48</v>
      </c>
      <c r="B6" s="9" t="str">
        <f>'1. Entity Setup'!$C$12</f>
        <v>Alberta</v>
      </c>
    </row>
    <row r="7" spans="1:4" ht="15" customHeight="1" x14ac:dyDescent="0.3">
      <c r="A7" s="8" t="s">
        <v>49</v>
      </c>
      <c r="B7" s="9" t="str">
        <f>'1. Entity Setup'!$C$18</f>
        <v>2025</v>
      </c>
    </row>
    <row r="8" spans="1:4" ht="15" customHeight="1" x14ac:dyDescent="0.3">
      <c r="A8" s="8" t="s">
        <v>50</v>
      </c>
      <c r="B8" s="9" t="str">
        <f>'1. Entity Setup'!$C$28</f>
        <v>Yes</v>
      </c>
    </row>
    <row r="9" spans="1:4" ht="15" customHeight="1" x14ac:dyDescent="0.3">
      <c r="A9" s="10"/>
      <c r="B9" s="10"/>
    </row>
    <row r="10" spans="1:4" ht="18" customHeight="1" x14ac:dyDescent="0.3">
      <c r="A10" s="63" t="s">
        <v>51</v>
      </c>
      <c r="B10" s="61"/>
      <c r="C10" s="61"/>
      <c r="D10" s="61"/>
    </row>
    <row r="11" spans="1:4" ht="15" customHeight="1" x14ac:dyDescent="0.3">
      <c r="A11" s="8" t="s">
        <v>52</v>
      </c>
      <c r="B11" s="11">
        <f>INDEX('Province Rate Reference'!$C$5:$C$17,MATCH(B6,'Province Rate Reference'!$A$5:$A$17,0))</f>
        <v>0.11</v>
      </c>
    </row>
    <row r="12" spans="1:4" ht="15" customHeight="1" x14ac:dyDescent="0.3">
      <c r="A12" s="8" t="s">
        <v>53</v>
      </c>
      <c r="B12" s="11">
        <f>INDEX('Province Rate Reference'!$B$5:$B$17,MATCH(B6,'Province Rate Reference'!$A$5:$A$17,0))</f>
        <v>0.23</v>
      </c>
    </row>
    <row r="13" spans="1:4" ht="42.75" customHeight="1" x14ac:dyDescent="0.3">
      <c r="A13" s="8" t="s">
        <v>54</v>
      </c>
      <c r="B13" s="11">
        <f>B12+0.2367</f>
        <v>0.4667</v>
      </c>
      <c r="C13" s="12" t="s">
        <v>55</v>
      </c>
    </row>
    <row r="14" spans="1:4" ht="15" customHeight="1" x14ac:dyDescent="0.3">
      <c r="A14" s="10"/>
      <c r="B14" s="10"/>
    </row>
    <row r="15" spans="1:4" ht="18" customHeight="1" x14ac:dyDescent="0.3">
      <c r="A15" s="63" t="s">
        <v>56</v>
      </c>
      <c r="B15" s="61"/>
      <c r="C15" s="61"/>
      <c r="D15" s="61"/>
    </row>
    <row r="16" spans="1:4" ht="15" customHeight="1" x14ac:dyDescent="0.3">
      <c r="A16" s="8" t="s">
        <v>57</v>
      </c>
      <c r="B16" s="13">
        <f>'3. Income Statement'!B47</f>
        <v>190000</v>
      </c>
    </row>
    <row r="17" spans="1:4" ht="23.25" customHeight="1" x14ac:dyDescent="0.3">
      <c r="A17" s="14" t="s">
        <v>58</v>
      </c>
      <c r="B17" s="13">
        <f>'3. Income Statement'!B48</f>
        <v>55000</v>
      </c>
    </row>
    <row r="18" spans="1:4" ht="23.25" customHeight="1" x14ac:dyDescent="0.3">
      <c r="A18" s="14" t="s">
        <v>59</v>
      </c>
      <c r="B18" s="15">
        <f>MIN(500000,MAX(0,(B17-50000)*5))</f>
        <v>25000</v>
      </c>
    </row>
    <row r="19" spans="1:4" ht="23.25" customHeight="1" x14ac:dyDescent="0.3">
      <c r="A19" s="14" t="s">
        <v>60</v>
      </c>
      <c r="B19" s="13">
        <f>'7. Associated Corporations'!E10</f>
        <v>1565000</v>
      </c>
    </row>
    <row r="20" spans="1:4" ht="23.25" customHeight="1" x14ac:dyDescent="0.3">
      <c r="A20" s="14" t="s">
        <v>61</v>
      </c>
      <c r="B20" s="15">
        <f>MIN(500000,MAX(0,(B19-10000000)/40000000*500000))</f>
        <v>0</v>
      </c>
    </row>
    <row r="21" spans="1:4" ht="15" customHeight="1" x14ac:dyDescent="0.3">
      <c r="A21" s="16" t="s">
        <v>62</v>
      </c>
      <c r="B21" s="15">
        <f>MAX(0,500000-MAX(B18,B20))</f>
        <v>475000</v>
      </c>
    </row>
    <row r="22" spans="1:4" ht="32.25" customHeight="1" x14ac:dyDescent="0.3">
      <c r="A22" s="16" t="s">
        <v>63</v>
      </c>
      <c r="B22" s="15">
        <f>MIN(B21,IF('1. Entity Setup'!$C$28="Yes",IFERROR(VLOOKUP("Northern Peak Consulting Inc. (this entity)",'7. Associated Corporations'!A5:F9,6,FALSE()),500000),500000))</f>
        <v>350000</v>
      </c>
      <c r="C22" s="12" t="s">
        <v>64</v>
      </c>
    </row>
    <row r="23" spans="1:4" ht="15" customHeight="1" x14ac:dyDescent="0.3">
      <c r="A23" s="8" t="s">
        <v>65</v>
      </c>
      <c r="B23" s="15">
        <f>MIN(B16,B22)</f>
        <v>190000</v>
      </c>
    </row>
    <row r="24" spans="1:4" ht="15" customHeight="1" x14ac:dyDescent="0.3">
      <c r="A24" s="8" t="s">
        <v>66</v>
      </c>
      <c r="B24" s="15">
        <f>MAX(0,B16-B22)</f>
        <v>0</v>
      </c>
    </row>
    <row r="25" spans="1:4" ht="15" customHeight="1" x14ac:dyDescent="0.3">
      <c r="A25" s="16" t="s">
        <v>67</v>
      </c>
      <c r="B25" s="8" t="str">
        <f>IF(B18&gt;0,"GRINDING — AAII over $50,000","OK — under $50,000 threshold")</f>
        <v>GRINDING — AAII over $50,000</v>
      </c>
    </row>
    <row r="26" spans="1:4" ht="15" customHeight="1" x14ac:dyDescent="0.3">
      <c r="A26" s="10"/>
      <c r="B26" s="10"/>
    </row>
    <row r="27" spans="1:4" ht="18" customHeight="1" x14ac:dyDescent="0.3">
      <c r="A27" s="63" t="s">
        <v>68</v>
      </c>
      <c r="B27" s="61"/>
      <c r="C27" s="61"/>
      <c r="D27" s="61"/>
    </row>
    <row r="28" spans="1:4" ht="15" customHeight="1" x14ac:dyDescent="0.3">
      <c r="A28" s="8" t="s">
        <v>69</v>
      </c>
      <c r="B28" s="15">
        <f>B23*B11</f>
        <v>20900</v>
      </c>
    </row>
    <row r="29" spans="1:4" ht="15" customHeight="1" x14ac:dyDescent="0.3">
      <c r="A29" s="8" t="s">
        <v>70</v>
      </c>
      <c r="B29" s="15">
        <f>B24*B12</f>
        <v>0</v>
      </c>
    </row>
    <row r="30" spans="1:4" ht="15" customHeight="1" x14ac:dyDescent="0.3">
      <c r="A30" s="8" t="s">
        <v>71</v>
      </c>
      <c r="B30" s="15">
        <f>B17*B13</f>
        <v>25668.5</v>
      </c>
    </row>
    <row r="31" spans="1:4" ht="15" customHeight="1" x14ac:dyDescent="0.3">
      <c r="A31" s="17" t="s">
        <v>72</v>
      </c>
      <c r="B31" s="18">
        <f>B28+B29+B30</f>
        <v>46568.5</v>
      </c>
      <c r="C31" s="19"/>
      <c r="D31" s="19"/>
    </row>
    <row r="32" spans="1:4" ht="15" customHeight="1" x14ac:dyDescent="0.3">
      <c r="A32" s="8" t="s">
        <v>73</v>
      </c>
      <c r="B32" s="13">
        <f>'11. Instalments &amp; Compliance'!B20</f>
        <v>40500</v>
      </c>
    </row>
    <row r="33" spans="1:4" ht="15" customHeight="1" x14ac:dyDescent="0.3">
      <c r="A33" s="16" t="s">
        <v>74</v>
      </c>
      <c r="B33" s="20">
        <f>B31-B32</f>
        <v>6068.5</v>
      </c>
    </row>
    <row r="34" spans="1:4" ht="15" customHeight="1" x14ac:dyDescent="0.3">
      <c r="A34" s="8" t="s">
        <v>75</v>
      </c>
      <c r="B34" s="8" t="str">
        <f>IF(B31&gt;3000,"Yes","No")</f>
        <v>Yes</v>
      </c>
    </row>
    <row r="35" spans="1:4" ht="15" customHeight="1" x14ac:dyDescent="0.3">
      <c r="A35" s="10"/>
      <c r="B35" s="10"/>
    </row>
    <row r="36" spans="1:4" ht="18" customHeight="1" x14ac:dyDescent="0.3">
      <c r="A36" s="63" t="s">
        <v>76</v>
      </c>
      <c r="B36" s="61"/>
      <c r="C36" s="61"/>
      <c r="D36" s="61"/>
    </row>
    <row r="37" spans="1:4" ht="23.25" customHeight="1" x14ac:dyDescent="0.3">
      <c r="A37" s="14" t="s">
        <v>77</v>
      </c>
      <c r="B37" s="15">
        <f>B17*0.3067</f>
        <v>16868.5</v>
      </c>
    </row>
    <row r="38" spans="1:4" ht="15" customHeight="1" x14ac:dyDescent="0.3">
      <c r="A38" s="8" t="s">
        <v>78</v>
      </c>
      <c r="B38" s="13">
        <f>'5. Prior-Year Tax Attributes'!C6</f>
        <v>42300</v>
      </c>
    </row>
    <row r="39" spans="1:4" ht="15" customHeight="1" x14ac:dyDescent="0.3">
      <c r="A39" s="16" t="s">
        <v>79</v>
      </c>
      <c r="B39" s="15">
        <f>B38+B37</f>
        <v>59168.5</v>
      </c>
    </row>
    <row r="40" spans="1:4" ht="15" customHeight="1" x14ac:dyDescent="0.3">
      <c r="A40" s="8" t="s">
        <v>80</v>
      </c>
      <c r="B40" s="13">
        <f>'5. Prior-Year Tax Attributes'!C5</f>
        <v>18500</v>
      </c>
    </row>
    <row r="41" spans="1:4" ht="23.25" customHeight="1" x14ac:dyDescent="0.3">
      <c r="A41" s="14" t="s">
        <v>81</v>
      </c>
      <c r="B41" s="15">
        <f>B39/0.3833</f>
        <v>154366.0318288547</v>
      </c>
    </row>
    <row r="42" spans="1:4" ht="15" customHeight="1" x14ac:dyDescent="0.3">
      <c r="A42" s="8" t="s">
        <v>82</v>
      </c>
      <c r="B42" s="15">
        <f>B40/0.3833</f>
        <v>48265.066527524134</v>
      </c>
    </row>
    <row r="43" spans="1:4" ht="15" customHeight="1" x14ac:dyDescent="0.3">
      <c r="A43" s="8" t="s">
        <v>83</v>
      </c>
      <c r="B43" s="13">
        <f>'5. Prior-Year Tax Attributes'!C9</f>
        <v>65000</v>
      </c>
    </row>
    <row r="44" spans="1:4" ht="15" customHeight="1" x14ac:dyDescent="0.3">
      <c r="A44" s="16" t="s">
        <v>84</v>
      </c>
      <c r="B44" s="13">
        <f>'5. Prior-Year Tax Attributes'!C12</f>
        <v>22000</v>
      </c>
    </row>
    <row r="45" spans="1:4" ht="15" customHeight="1" x14ac:dyDescent="0.3">
      <c r="A45" s="16" t="s">
        <v>85</v>
      </c>
      <c r="B45" s="21" t="str">
        <f>IF(B44&gt;0,"CDA balance sitting idle — consider a capital dividend election","No CDA balance available")</f>
        <v>CDA balance sitting idle — consider a capital dividend election</v>
      </c>
    </row>
    <row r="46" spans="1:4" ht="15" customHeight="1" x14ac:dyDescent="0.3">
      <c r="A46" s="10"/>
      <c r="B46" s="10"/>
    </row>
    <row r="47" spans="1:4" ht="18" customHeight="1" x14ac:dyDescent="0.3">
      <c r="A47" s="63" t="s">
        <v>86</v>
      </c>
      <c r="B47" s="61"/>
      <c r="C47" s="61"/>
      <c r="D47" s="61"/>
    </row>
    <row r="48" spans="1:4" ht="15" customHeight="1" x14ac:dyDescent="0.3">
      <c r="A48" s="8" t="s">
        <v>87</v>
      </c>
      <c r="B48" s="13">
        <f>'9. Payroll Register'!C13</f>
        <v>600000</v>
      </c>
    </row>
    <row r="49" spans="1:4" ht="15" customHeight="1" x14ac:dyDescent="0.3">
      <c r="A49" s="8" t="s">
        <v>88</v>
      </c>
      <c r="B49" s="13">
        <f>'9. Payroll Register'!C18</f>
        <v>7343.8399999999983</v>
      </c>
    </row>
    <row r="50" spans="1:4" ht="15" customHeight="1" x14ac:dyDescent="0.3">
      <c r="A50" s="8" t="s">
        <v>89</v>
      </c>
      <c r="B50" s="22">
        <f>'10. GST-HST'!C28</f>
        <v>11900</v>
      </c>
    </row>
    <row r="51" spans="1:4" ht="23.25" customHeight="1" x14ac:dyDescent="0.3">
      <c r="A51" s="14" t="s">
        <v>90</v>
      </c>
      <c r="B51" s="13">
        <f>'6. CCA Continuity'!H13</f>
        <v>36900</v>
      </c>
    </row>
    <row r="52" spans="1:4" ht="15" customHeight="1" x14ac:dyDescent="0.3">
      <c r="A52" s="8" t="s">
        <v>91</v>
      </c>
      <c r="B52" s="13">
        <f>'12. Credits &amp; Incentives'!C9</f>
        <v>22750</v>
      </c>
    </row>
    <row r="53" spans="1:4" ht="15" customHeight="1" x14ac:dyDescent="0.3">
      <c r="A53" s="8" t="s">
        <v>92</v>
      </c>
      <c r="B53" s="13">
        <f>'12. Credits &amp; Incentives'!C14</f>
        <v>9750</v>
      </c>
    </row>
    <row r="54" spans="1:4" ht="15" customHeight="1" x14ac:dyDescent="0.3">
      <c r="A54" s="10"/>
      <c r="B54" s="10"/>
    </row>
    <row r="55" spans="1:4" ht="18" customHeight="1" x14ac:dyDescent="0.3">
      <c r="A55" s="63" t="s">
        <v>93</v>
      </c>
      <c r="B55" s="61"/>
      <c r="C55" s="61"/>
      <c r="D55" s="61"/>
    </row>
    <row r="56" spans="1:4" ht="15" customHeight="1" x14ac:dyDescent="0.3">
      <c r="A56" s="62"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1"/>
      <c r="C56" s="61"/>
      <c r="D56" s="61"/>
    </row>
    <row r="57" spans="1:4" ht="15" customHeight="1" x14ac:dyDescent="0.3">
      <c r="A57" s="62"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1"/>
      <c r="C57" s="61"/>
      <c r="D57" s="61"/>
    </row>
    <row r="58" spans="1:4" ht="15" customHeight="1" x14ac:dyDescent="0.3">
      <c r="A58" s="62" t="str">
        <f>IF(B44&gt;0,"• Unused Capital Dividend Account balance — a tax-free capital dividend may be available.","")</f>
        <v>• Unused Capital Dividend Account balance — a tax-free capital dividend may be available.</v>
      </c>
      <c r="B58" s="61"/>
      <c r="C58" s="61"/>
      <c r="D58" s="61"/>
    </row>
    <row r="59" spans="1:4" ht="21.75" customHeight="1" x14ac:dyDescent="0.3">
      <c r="A59" s="60" t="s">
        <v>94</v>
      </c>
      <c r="B59" s="61"/>
      <c r="C59" s="61"/>
      <c r="D59" s="61"/>
    </row>
  </sheetData>
  <mergeCells count="13">
    <mergeCell ref="A1:D1"/>
    <mergeCell ref="A56:D56"/>
    <mergeCell ref="A27:D27"/>
    <mergeCell ref="A58:D58"/>
    <mergeCell ref="A4:D4"/>
    <mergeCell ref="A55:D55"/>
    <mergeCell ref="A15:D15"/>
    <mergeCell ref="A59:D59"/>
    <mergeCell ref="A57:D57"/>
    <mergeCell ref="A2:D2"/>
    <mergeCell ref="A10:D10"/>
    <mergeCell ref="A36:D36"/>
    <mergeCell ref="A47:D4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57" t="s">
        <v>95</v>
      </c>
      <c r="B1" s="54"/>
      <c r="C1" s="54"/>
      <c r="D1" s="54"/>
    </row>
    <row r="3" spans="1:4" ht="18" customHeight="1" x14ac:dyDescent="0.3">
      <c r="A3" s="53" t="s">
        <v>96</v>
      </c>
      <c r="B3" s="54"/>
      <c r="C3" s="54"/>
      <c r="D3" s="54"/>
    </row>
    <row r="4" spans="1:4" ht="15" customHeight="1" x14ac:dyDescent="0.3">
      <c r="A4" s="55" t="s">
        <v>97</v>
      </c>
      <c r="B4" s="54"/>
      <c r="C4" s="23" t="s">
        <v>98</v>
      </c>
    </row>
    <row r="5" spans="1:4" ht="15" customHeight="1" x14ac:dyDescent="0.3">
      <c r="A5" s="55" t="s">
        <v>99</v>
      </c>
      <c r="B5" s="54"/>
      <c r="C5" s="23" t="s">
        <v>100</v>
      </c>
    </row>
    <row r="6" spans="1:4" ht="15" customHeight="1" x14ac:dyDescent="0.3">
      <c r="A6" s="55" t="s">
        <v>101</v>
      </c>
      <c r="B6" s="54"/>
      <c r="C6" s="23" t="s">
        <v>102</v>
      </c>
    </row>
    <row r="7" spans="1:4" ht="15" customHeight="1" x14ac:dyDescent="0.3">
      <c r="A7" s="55" t="s">
        <v>103</v>
      </c>
      <c r="B7" s="54"/>
      <c r="C7" s="23" t="s">
        <v>104</v>
      </c>
    </row>
    <row r="8" spans="1:4" ht="15" customHeight="1" x14ac:dyDescent="0.3">
      <c r="A8" s="55" t="s">
        <v>105</v>
      </c>
      <c r="B8" s="54"/>
      <c r="C8" s="23" t="s">
        <v>106</v>
      </c>
    </row>
    <row r="10" spans="1:4" ht="18" customHeight="1" x14ac:dyDescent="0.3">
      <c r="A10" s="53" t="s">
        <v>107</v>
      </c>
      <c r="B10" s="54"/>
      <c r="C10" s="54"/>
      <c r="D10" s="54"/>
    </row>
    <row r="11" spans="1:4" ht="15" customHeight="1" x14ac:dyDescent="0.3">
      <c r="A11" s="55" t="s">
        <v>108</v>
      </c>
      <c r="B11" s="54"/>
      <c r="C11" s="23" t="s">
        <v>109</v>
      </c>
    </row>
    <row r="12" spans="1:4" ht="15" customHeight="1" x14ac:dyDescent="0.3">
      <c r="A12" s="55" t="s">
        <v>110</v>
      </c>
      <c r="B12" s="54"/>
      <c r="C12" s="23" t="s">
        <v>109</v>
      </c>
      <c r="D12" s="1" t="s">
        <v>111</v>
      </c>
    </row>
    <row r="13" spans="1:4" ht="15" customHeight="1" x14ac:dyDescent="0.3">
      <c r="A13" s="55" t="s">
        <v>112</v>
      </c>
      <c r="B13" s="54"/>
      <c r="C13" s="23" t="s">
        <v>113</v>
      </c>
      <c r="D13" s="1" t="s">
        <v>114</v>
      </c>
    </row>
    <row r="15" spans="1:4" ht="18" customHeight="1" x14ac:dyDescent="0.3">
      <c r="A15" s="53" t="s">
        <v>115</v>
      </c>
      <c r="B15" s="54"/>
      <c r="C15" s="54"/>
      <c r="D15" s="54"/>
    </row>
    <row r="16" spans="1:4" ht="15" customHeight="1" x14ac:dyDescent="0.3">
      <c r="A16" s="55" t="s">
        <v>116</v>
      </c>
      <c r="B16" s="54"/>
      <c r="C16" s="23" t="s">
        <v>117</v>
      </c>
    </row>
    <row r="17" spans="1:4" ht="15" customHeight="1" x14ac:dyDescent="0.3">
      <c r="A17" s="55" t="s">
        <v>118</v>
      </c>
      <c r="B17" s="54"/>
      <c r="C17" s="23" t="s">
        <v>119</v>
      </c>
    </row>
    <row r="18" spans="1:4" ht="15" customHeight="1" x14ac:dyDescent="0.3">
      <c r="A18" s="55" t="s">
        <v>49</v>
      </c>
      <c r="B18" s="54"/>
      <c r="C18" s="23" t="s">
        <v>120</v>
      </c>
    </row>
    <row r="19" spans="1:4" ht="15" customHeight="1" x14ac:dyDescent="0.3">
      <c r="A19" s="55" t="s">
        <v>121</v>
      </c>
      <c r="B19" s="54"/>
      <c r="C19" s="23" t="s">
        <v>122</v>
      </c>
    </row>
    <row r="20" spans="1:4" ht="15" customHeight="1" x14ac:dyDescent="0.3">
      <c r="A20" s="55" t="s">
        <v>123</v>
      </c>
      <c r="B20" s="54"/>
      <c r="C20" s="23" t="s">
        <v>122</v>
      </c>
    </row>
    <row r="21" spans="1:4" ht="15" customHeight="1" x14ac:dyDescent="0.3">
      <c r="A21" s="55" t="s">
        <v>124</v>
      </c>
      <c r="B21" s="54"/>
      <c r="C21" s="23" t="s">
        <v>122</v>
      </c>
    </row>
    <row r="23" spans="1:4" ht="18" customHeight="1" x14ac:dyDescent="0.3">
      <c r="A23" s="53" t="s">
        <v>125</v>
      </c>
      <c r="B23" s="54"/>
      <c r="C23" s="54"/>
      <c r="D23" s="54"/>
    </row>
    <row r="24" spans="1:4" ht="15" customHeight="1" x14ac:dyDescent="0.3">
      <c r="A24" s="55" t="s">
        <v>126</v>
      </c>
      <c r="B24" s="54"/>
      <c r="C24" s="23" t="s">
        <v>113</v>
      </c>
      <c r="D24" s="1" t="s">
        <v>127</v>
      </c>
    </row>
    <row r="25" spans="1:4" ht="15" customHeight="1" x14ac:dyDescent="0.3">
      <c r="A25" s="55" t="s">
        <v>128</v>
      </c>
      <c r="B25" s="54"/>
      <c r="C25" s="23" t="s">
        <v>122</v>
      </c>
      <c r="D25" s="1" t="s">
        <v>129</v>
      </c>
    </row>
    <row r="27" spans="1:4" ht="18" customHeight="1" x14ac:dyDescent="0.3">
      <c r="A27" s="53" t="s">
        <v>130</v>
      </c>
      <c r="B27" s="54"/>
      <c r="C27" s="54"/>
      <c r="D27" s="54"/>
    </row>
    <row r="28" spans="1:4" ht="15" customHeight="1" x14ac:dyDescent="0.3">
      <c r="A28" s="55" t="s">
        <v>131</v>
      </c>
      <c r="B28" s="54"/>
      <c r="C28" s="23" t="s">
        <v>113</v>
      </c>
      <c r="D28" s="1" t="s">
        <v>132</v>
      </c>
    </row>
    <row r="29" spans="1:4" ht="15" customHeight="1" x14ac:dyDescent="0.3">
      <c r="A29" s="55" t="s">
        <v>133</v>
      </c>
      <c r="B29" s="54"/>
      <c r="C29" s="23">
        <v>3</v>
      </c>
    </row>
  </sheetData>
  <mergeCells count="24">
    <mergeCell ref="A1:D1"/>
    <mergeCell ref="A21:B21"/>
    <mergeCell ref="A5:B5"/>
    <mergeCell ref="A17:B17"/>
    <mergeCell ref="A8:B8"/>
    <mergeCell ref="A4:B4"/>
    <mergeCell ref="A20:B20"/>
    <mergeCell ref="A11:B11"/>
    <mergeCell ref="A10:D10"/>
    <mergeCell ref="A6:B6"/>
    <mergeCell ref="A16:B16"/>
    <mergeCell ref="A7:B7"/>
    <mergeCell ref="A27:D27"/>
    <mergeCell ref="A29:B29"/>
    <mergeCell ref="A19:B19"/>
    <mergeCell ref="A3:D3"/>
    <mergeCell ref="A28:B28"/>
    <mergeCell ref="A13:B13"/>
    <mergeCell ref="A25:B25"/>
    <mergeCell ref="A15:D15"/>
    <mergeCell ref="A18:B18"/>
    <mergeCell ref="A12:B12"/>
    <mergeCell ref="A23:D23"/>
    <mergeCell ref="A24:B2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57" t="s">
        <v>134</v>
      </c>
      <c r="B1" s="54"/>
      <c r="C1" s="54"/>
      <c r="D1" s="54"/>
      <c r="E1" s="54"/>
      <c r="F1" s="54"/>
      <c r="G1" s="54"/>
      <c r="H1" s="54"/>
    </row>
    <row r="2" spans="1:8" ht="21.75" customHeight="1" x14ac:dyDescent="0.3">
      <c r="A2" s="64" t="s">
        <v>135</v>
      </c>
      <c r="B2" s="54"/>
      <c r="C2" s="54"/>
      <c r="D2" s="54"/>
      <c r="E2" s="54"/>
      <c r="F2" s="54"/>
      <c r="G2" s="54"/>
      <c r="H2" s="54"/>
    </row>
    <row r="4" spans="1:8" ht="30" customHeight="1" x14ac:dyDescent="0.3">
      <c r="A4" s="2" t="s">
        <v>136</v>
      </c>
      <c r="B4" s="2" t="s">
        <v>137</v>
      </c>
      <c r="C4" s="2" t="s">
        <v>138</v>
      </c>
      <c r="D4" s="2" t="s">
        <v>139</v>
      </c>
      <c r="E4" s="2" t="s">
        <v>140</v>
      </c>
      <c r="F4" s="2" t="s">
        <v>141</v>
      </c>
      <c r="G4" s="2" t="s">
        <v>142</v>
      </c>
      <c r="H4" s="2" t="s">
        <v>143</v>
      </c>
    </row>
    <row r="5" spans="1:8" ht="15" customHeight="1" x14ac:dyDescent="0.3">
      <c r="A5" s="24" t="s">
        <v>144</v>
      </c>
      <c r="B5" s="25">
        <v>850000</v>
      </c>
      <c r="C5" s="25">
        <v>420000</v>
      </c>
      <c r="D5" s="11">
        <f>B5/SUM($B$5:$B$6)</f>
        <v>0.70833333333333337</v>
      </c>
      <c r="E5" s="11">
        <f>C5/SUM($C$5:$C$6)</f>
        <v>0.7</v>
      </c>
      <c r="F5" s="11">
        <f t="shared" ref="F5:F12" si="0">AVERAGE(D5:E5)</f>
        <v>0.70416666666666661</v>
      </c>
      <c r="G5" s="13">
        <f>F5*'3. Income Statement'!$B$49</f>
        <v>200687.49999999997</v>
      </c>
      <c r="H5" s="26" t="s">
        <v>145</v>
      </c>
    </row>
    <row r="6" spans="1:8" ht="15" customHeight="1" x14ac:dyDescent="0.3">
      <c r="A6" s="24" t="s">
        <v>146</v>
      </c>
      <c r="B6" s="25">
        <v>350000</v>
      </c>
      <c r="C6" s="25">
        <v>180000</v>
      </c>
      <c r="D6" s="11">
        <f>B6/SUM($B$5:$B$6)</f>
        <v>0.29166666666666669</v>
      </c>
      <c r="E6" s="11">
        <f>C6/SUM($C$5:$C$6)</f>
        <v>0.3</v>
      </c>
      <c r="F6" s="11">
        <f t="shared" si="0"/>
        <v>0.29583333333333334</v>
      </c>
      <c r="G6" s="13">
        <f>F6*'3. Income Statement'!$B$49</f>
        <v>84312.5</v>
      </c>
      <c r="H6" s="26" t="s">
        <v>147</v>
      </c>
    </row>
    <row r="7" spans="1:8" ht="15" customHeight="1" x14ac:dyDescent="0.3">
      <c r="A7" s="23"/>
      <c r="B7" s="27"/>
      <c r="C7" s="27"/>
      <c r="D7" s="11">
        <f t="shared" ref="D7:D12" si="1">IF(SUM($B$7:$B$12)=0,0,B7/SUM($B$7:$B$12))</f>
        <v>0</v>
      </c>
      <c r="E7" s="11">
        <f t="shared" ref="E7:E12" si="2">IF(SUM($C$7:$C$12)=0,0,C7/SUM($C$7:$C$12))</f>
        <v>0</v>
      </c>
      <c r="F7" s="11">
        <f t="shared" si="0"/>
        <v>0</v>
      </c>
      <c r="G7" s="15">
        <f>F7*'3. Income Statement'!$B$49</f>
        <v>0</v>
      </c>
      <c r="H7" s="23"/>
    </row>
    <row r="8" spans="1:8" ht="15" customHeight="1" x14ac:dyDescent="0.3">
      <c r="A8" s="23"/>
      <c r="B8" s="27"/>
      <c r="C8" s="27"/>
      <c r="D8" s="11">
        <f t="shared" si="1"/>
        <v>0</v>
      </c>
      <c r="E8" s="11">
        <f t="shared" si="2"/>
        <v>0</v>
      </c>
      <c r="F8" s="11">
        <f t="shared" si="0"/>
        <v>0</v>
      </c>
      <c r="G8" s="15">
        <f>F8*'3. Income Statement'!$B$49</f>
        <v>0</v>
      </c>
      <c r="H8" s="23"/>
    </row>
    <row r="9" spans="1:8" ht="15" customHeight="1" x14ac:dyDescent="0.3">
      <c r="A9" s="23"/>
      <c r="B9" s="27"/>
      <c r="C9" s="27"/>
      <c r="D9" s="11">
        <f t="shared" si="1"/>
        <v>0</v>
      </c>
      <c r="E9" s="11">
        <f t="shared" si="2"/>
        <v>0</v>
      </c>
      <c r="F9" s="11">
        <f t="shared" si="0"/>
        <v>0</v>
      </c>
      <c r="G9" s="15">
        <f>F9*'3. Income Statement'!$B$49</f>
        <v>0</v>
      </c>
      <c r="H9" s="23"/>
    </row>
    <row r="10" spans="1:8" ht="15" customHeight="1" x14ac:dyDescent="0.3">
      <c r="A10" s="23"/>
      <c r="B10" s="27"/>
      <c r="C10" s="27"/>
      <c r="D10" s="11">
        <f t="shared" si="1"/>
        <v>0</v>
      </c>
      <c r="E10" s="11">
        <f t="shared" si="2"/>
        <v>0</v>
      </c>
      <c r="F10" s="11">
        <f t="shared" si="0"/>
        <v>0</v>
      </c>
      <c r="G10" s="15">
        <f>F10*'3. Income Statement'!$B$49</f>
        <v>0</v>
      </c>
      <c r="H10" s="23"/>
    </row>
    <row r="11" spans="1:8" ht="15" customHeight="1" x14ac:dyDescent="0.3">
      <c r="A11" s="23"/>
      <c r="B11" s="27"/>
      <c r="C11" s="27"/>
      <c r="D11" s="11">
        <f t="shared" si="1"/>
        <v>0</v>
      </c>
      <c r="E11" s="11">
        <f t="shared" si="2"/>
        <v>0</v>
      </c>
      <c r="F11" s="11">
        <f t="shared" si="0"/>
        <v>0</v>
      </c>
      <c r="G11" s="15">
        <f>F11*'3. Income Statement'!$B$49</f>
        <v>0</v>
      </c>
      <c r="H11" s="23"/>
    </row>
    <row r="12" spans="1:8" ht="15" customHeight="1" x14ac:dyDescent="0.3">
      <c r="A12" s="23"/>
      <c r="B12" s="27"/>
      <c r="C12" s="27"/>
      <c r="D12" s="11">
        <f t="shared" si="1"/>
        <v>0</v>
      </c>
      <c r="E12" s="11">
        <f t="shared" si="2"/>
        <v>0</v>
      </c>
      <c r="F12" s="11">
        <f t="shared" si="0"/>
        <v>0</v>
      </c>
      <c r="G12" s="15">
        <f>F12*'3. Income Statement'!$B$49</f>
        <v>0</v>
      </c>
      <c r="H12" s="23"/>
    </row>
    <row r="14" spans="1:8" ht="15" customHeight="1" x14ac:dyDescent="0.3">
      <c r="A14" s="16" t="s">
        <v>148</v>
      </c>
      <c r="B14" s="15">
        <f>SUM(B5:B12)</f>
        <v>1200000</v>
      </c>
      <c r="C14" s="15">
        <f>SUM(C5:C12)</f>
        <v>600000</v>
      </c>
      <c r="D14" s="10"/>
      <c r="E14" s="10"/>
      <c r="F14" s="11">
        <f>SUM(F5:F12)</f>
        <v>1</v>
      </c>
      <c r="G14" s="10"/>
      <c r="H14" s="26"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57" t="s">
        <v>150</v>
      </c>
      <c r="B1" s="54"/>
      <c r="C1" s="54"/>
      <c r="D1" s="54"/>
    </row>
    <row r="3" spans="1:4" ht="30" customHeight="1" x14ac:dyDescent="0.3">
      <c r="A3" s="2" t="s">
        <v>151</v>
      </c>
      <c r="B3" s="2" t="s">
        <v>152</v>
      </c>
      <c r="C3" s="2" t="s">
        <v>153</v>
      </c>
      <c r="D3" s="2" t="s">
        <v>143</v>
      </c>
    </row>
    <row r="4" spans="1:4" ht="18" customHeight="1" x14ac:dyDescent="0.3">
      <c r="A4" s="63" t="s">
        <v>154</v>
      </c>
      <c r="B4" s="61"/>
      <c r="C4" s="61"/>
      <c r="D4" s="61"/>
    </row>
    <row r="5" spans="1:4" ht="15" customHeight="1" x14ac:dyDescent="0.3">
      <c r="A5" s="24" t="s">
        <v>155</v>
      </c>
      <c r="B5" s="28">
        <v>850000</v>
      </c>
    </row>
    <row r="6" spans="1:4" ht="15" customHeight="1" x14ac:dyDescent="0.3">
      <c r="A6" s="24" t="s">
        <v>156</v>
      </c>
      <c r="B6" s="28">
        <v>350000</v>
      </c>
    </row>
    <row r="7" spans="1:4" ht="15" customHeight="1" x14ac:dyDescent="0.3">
      <c r="A7" s="65"/>
      <c r="B7" s="66"/>
    </row>
    <row r="8" spans="1:4" ht="15" customHeight="1" x14ac:dyDescent="0.3">
      <c r="A8" s="65"/>
      <c r="B8" s="66"/>
    </row>
    <row r="9" spans="1:4" ht="15" customHeight="1" x14ac:dyDescent="0.3">
      <c r="A9" s="16" t="s">
        <v>157</v>
      </c>
      <c r="B9" s="8">
        <f>SUM(B5:B8)</f>
        <v>1200000</v>
      </c>
    </row>
    <row r="10" spans="1:4" ht="15" customHeight="1" x14ac:dyDescent="0.3">
      <c r="A10" s="10"/>
      <c r="B10" s="10"/>
    </row>
    <row r="11" spans="1:4" ht="18" customHeight="1" x14ac:dyDescent="0.3">
      <c r="A11" s="63" t="s">
        <v>158</v>
      </c>
      <c r="B11" s="61"/>
      <c r="C11" s="61"/>
      <c r="D11" s="61"/>
    </row>
    <row r="12" spans="1:4" ht="15" customHeight="1" x14ac:dyDescent="0.3">
      <c r="A12" s="24" t="s">
        <v>159</v>
      </c>
      <c r="B12" s="28">
        <v>180000</v>
      </c>
    </row>
    <row r="13" spans="1:4" ht="15" customHeight="1" x14ac:dyDescent="0.3">
      <c r="A13" s="29"/>
      <c r="B13" s="23"/>
    </row>
    <row r="14" spans="1:4" ht="15" customHeight="1" x14ac:dyDescent="0.3">
      <c r="A14" s="16" t="s">
        <v>160</v>
      </c>
      <c r="B14" s="8">
        <f>SUM(B12:B13)</f>
        <v>180000</v>
      </c>
    </row>
    <row r="15" spans="1:4" ht="15" customHeight="1" x14ac:dyDescent="0.3">
      <c r="A15" s="16" t="s">
        <v>161</v>
      </c>
      <c r="B15" s="8">
        <f>B9-B14</f>
        <v>1020000</v>
      </c>
    </row>
    <row r="16" spans="1:4" ht="15" customHeight="1" x14ac:dyDescent="0.3">
      <c r="A16" s="10"/>
      <c r="B16" s="10"/>
    </row>
    <row r="17" spans="1:4" ht="18" customHeight="1" x14ac:dyDescent="0.3">
      <c r="A17" s="63" t="s">
        <v>162</v>
      </c>
      <c r="B17" s="61"/>
      <c r="C17" s="61"/>
      <c r="D17" s="61"/>
    </row>
    <row r="18" spans="1:4" ht="15" customHeight="1" x14ac:dyDescent="0.3">
      <c r="A18" s="24" t="s">
        <v>163</v>
      </c>
      <c r="B18" s="28">
        <v>600000</v>
      </c>
    </row>
    <row r="19" spans="1:4" ht="15" customHeight="1" x14ac:dyDescent="0.3">
      <c r="A19" s="24" t="s">
        <v>164</v>
      </c>
      <c r="B19" s="28">
        <v>60000</v>
      </c>
    </row>
    <row r="20" spans="1:4" ht="15" customHeight="1" x14ac:dyDescent="0.3">
      <c r="A20" s="24" t="s">
        <v>165</v>
      </c>
      <c r="B20" s="28">
        <v>25000</v>
      </c>
    </row>
    <row r="21" spans="1:4" ht="21.75" customHeight="1" x14ac:dyDescent="0.3">
      <c r="A21" s="24" t="s">
        <v>166</v>
      </c>
      <c r="B21" s="28">
        <v>8000</v>
      </c>
      <c r="D21" s="12" t="s">
        <v>167</v>
      </c>
    </row>
    <row r="22" spans="1:4" ht="15" customHeight="1" x14ac:dyDescent="0.3">
      <c r="A22" s="24" t="s">
        <v>168</v>
      </c>
      <c r="B22" s="28">
        <v>15000</v>
      </c>
    </row>
    <row r="23" spans="1:4" ht="15" customHeight="1" x14ac:dyDescent="0.3">
      <c r="A23" s="24" t="s">
        <v>169</v>
      </c>
      <c r="B23" s="28">
        <v>10000</v>
      </c>
    </row>
    <row r="24" spans="1:4" ht="21.75" customHeight="1" x14ac:dyDescent="0.3">
      <c r="A24" s="24" t="s">
        <v>170</v>
      </c>
      <c r="B24" s="28">
        <v>45000</v>
      </c>
      <c r="D24" s="12" t="s">
        <v>171</v>
      </c>
    </row>
    <row r="25" spans="1:4" ht="15" customHeight="1" x14ac:dyDescent="0.3">
      <c r="A25" s="24" t="s">
        <v>172</v>
      </c>
      <c r="B25" s="28">
        <v>30000</v>
      </c>
    </row>
    <row r="26" spans="1:4" ht="15" customHeight="1" x14ac:dyDescent="0.3">
      <c r="A26" s="24" t="s">
        <v>173</v>
      </c>
      <c r="B26" s="28">
        <v>20000</v>
      </c>
    </row>
    <row r="27" spans="1:4" ht="15" customHeight="1" x14ac:dyDescent="0.3">
      <c r="A27" s="24" t="s">
        <v>174</v>
      </c>
      <c r="B27" s="28">
        <v>12000</v>
      </c>
    </row>
    <row r="28" spans="1:4" ht="15" customHeight="1" x14ac:dyDescent="0.3">
      <c r="A28" s="24" t="s">
        <v>175</v>
      </c>
      <c r="B28" s="28">
        <v>5000</v>
      </c>
    </row>
    <row r="29" spans="1:4" ht="15" customHeight="1" x14ac:dyDescent="0.3">
      <c r="A29" s="29"/>
      <c r="B29" s="23"/>
    </row>
    <row r="30" spans="1:4" ht="15" customHeight="1" x14ac:dyDescent="0.3">
      <c r="A30" s="29"/>
      <c r="B30" s="23"/>
    </row>
    <row r="31" spans="1:4" ht="15" customHeight="1" x14ac:dyDescent="0.3">
      <c r="A31" s="16" t="s">
        <v>176</v>
      </c>
      <c r="B31" s="8">
        <f>SUM(B18:B30)</f>
        <v>830000</v>
      </c>
    </row>
    <row r="32" spans="1:4" ht="15" customHeight="1" x14ac:dyDescent="0.3">
      <c r="A32" s="16" t="s">
        <v>177</v>
      </c>
      <c r="B32" s="8">
        <f>B15-B31</f>
        <v>190000</v>
      </c>
    </row>
    <row r="33" spans="1:4" ht="15" customHeight="1" x14ac:dyDescent="0.3">
      <c r="A33" s="10"/>
      <c r="B33" s="10"/>
    </row>
    <row r="34" spans="1:4" ht="18" customHeight="1" x14ac:dyDescent="0.3">
      <c r="A34" s="63" t="s">
        <v>178</v>
      </c>
      <c r="B34" s="61"/>
      <c r="C34" s="61"/>
      <c r="D34" s="61"/>
    </row>
    <row r="35" spans="1:4" ht="15" customHeight="1" x14ac:dyDescent="0.3">
      <c r="A35" s="30" t="s">
        <v>179</v>
      </c>
      <c r="B35" s="28">
        <v>12000</v>
      </c>
      <c r="C35" s="3" t="s">
        <v>180</v>
      </c>
    </row>
    <row r="36" spans="1:4" ht="34.5" customHeight="1" x14ac:dyDescent="0.3">
      <c r="A36" s="30" t="s">
        <v>181</v>
      </c>
      <c r="B36" s="28">
        <v>40000</v>
      </c>
      <c r="C36" s="3" t="s">
        <v>531</v>
      </c>
      <c r="D36" s="12" t="s">
        <v>539</v>
      </c>
    </row>
    <row r="37" spans="1:4" ht="23.25" customHeight="1" x14ac:dyDescent="0.3">
      <c r="A37" s="30" t="s">
        <v>183</v>
      </c>
      <c r="B37" s="28">
        <v>15000</v>
      </c>
      <c r="C37" s="3" t="s">
        <v>180</v>
      </c>
      <c r="D37" s="12" t="s">
        <v>184</v>
      </c>
    </row>
    <row r="38" spans="1:4" ht="23.25" customHeight="1" x14ac:dyDescent="0.3">
      <c r="A38" s="30" t="s">
        <v>185</v>
      </c>
      <c r="B38" s="28">
        <v>20000</v>
      </c>
      <c r="C38" s="3" t="s">
        <v>180</v>
      </c>
      <c r="D38" s="12" t="s">
        <v>186</v>
      </c>
    </row>
    <row r="39" spans="1:4" ht="32.25" customHeight="1" x14ac:dyDescent="0.3">
      <c r="A39" s="30" t="s">
        <v>187</v>
      </c>
      <c r="B39" s="28">
        <v>8000</v>
      </c>
      <c r="C39" s="3" t="s">
        <v>180</v>
      </c>
      <c r="D39" s="12" t="s">
        <v>188</v>
      </c>
    </row>
    <row r="40" spans="1:4" ht="15" customHeight="1" x14ac:dyDescent="0.3">
      <c r="A40" s="30" t="s">
        <v>189</v>
      </c>
      <c r="B40" s="28">
        <v>0</v>
      </c>
      <c r="C40" s="3" t="s">
        <v>190</v>
      </c>
    </row>
    <row r="41" spans="1:4" ht="15" customHeight="1" x14ac:dyDescent="0.3">
      <c r="A41" s="29"/>
      <c r="B41" s="23"/>
      <c r="C41" s="23"/>
    </row>
    <row r="42" spans="1:4" ht="15" customHeight="1" x14ac:dyDescent="0.3">
      <c r="A42" s="29"/>
      <c r="B42" s="23"/>
      <c r="C42" s="23"/>
    </row>
    <row r="43" spans="1:4" ht="15" customHeight="1" x14ac:dyDescent="0.3">
      <c r="A43" s="16" t="s">
        <v>191</v>
      </c>
      <c r="B43" s="8">
        <f>SUM(B35:B42)</f>
        <v>95000</v>
      </c>
    </row>
    <row r="44" spans="1:4" ht="15" customHeight="1" x14ac:dyDescent="0.3">
      <c r="A44" s="17" t="s">
        <v>192</v>
      </c>
      <c r="B44" s="17">
        <f>B32+B43</f>
        <v>285000</v>
      </c>
      <c r="C44" s="19"/>
      <c r="D44" s="19"/>
    </row>
    <row r="45" spans="1:4" ht="15" customHeight="1" x14ac:dyDescent="0.3">
      <c r="A45" s="10"/>
      <c r="B45" s="10"/>
    </row>
    <row r="46" spans="1:4" ht="18" customHeight="1" x14ac:dyDescent="0.3">
      <c r="A46" s="63" t="s">
        <v>193</v>
      </c>
      <c r="B46" s="61"/>
      <c r="C46" s="61"/>
      <c r="D46" s="61"/>
    </row>
    <row r="47" spans="1:4" ht="15" customHeight="1" x14ac:dyDescent="0.3">
      <c r="A47" s="16" t="s">
        <v>194</v>
      </c>
      <c r="B47" s="8">
        <f>B32</f>
        <v>190000</v>
      </c>
    </row>
    <row r="48" spans="1:4" ht="15" customHeight="1" x14ac:dyDescent="0.3">
      <c r="A48" s="16" t="s">
        <v>195</v>
      </c>
      <c r="B48" s="8">
        <f>SUMIF(C35:C42,"Aggregate Investment Income",B35:B42)</f>
        <v>55000</v>
      </c>
    </row>
    <row r="49" spans="1:4" ht="15" customHeight="1" x14ac:dyDescent="0.3">
      <c r="A49" s="16" t="s">
        <v>196</v>
      </c>
      <c r="B49" s="8">
        <f>B44</f>
        <v>285000</v>
      </c>
    </row>
    <row r="51" spans="1:4" x14ac:dyDescent="0.3">
      <c r="A51" s="7" t="s">
        <v>197</v>
      </c>
      <c r="B51" s="52"/>
      <c r="C51" s="52"/>
      <c r="D51" s="52"/>
    </row>
    <row r="52" spans="1:4" x14ac:dyDescent="0.3">
      <c r="A52" s="16" t="s">
        <v>198</v>
      </c>
      <c r="B52" s="28">
        <v>20000</v>
      </c>
      <c r="D52" t="s">
        <v>199</v>
      </c>
    </row>
    <row r="53" spans="1:4" x14ac:dyDescent="0.3">
      <c r="A53" s="16" t="s">
        <v>200</v>
      </c>
      <c r="B53" s="28">
        <v>20000</v>
      </c>
      <c r="D53" t="s">
        <v>201</v>
      </c>
    </row>
    <row r="54" spans="1:4" x14ac:dyDescent="0.3">
      <c r="A54" s="16" t="s">
        <v>202</v>
      </c>
      <c r="B54" s="28">
        <v>15000</v>
      </c>
      <c r="D54" t="s">
        <v>203</v>
      </c>
    </row>
    <row r="55" spans="1:4" x14ac:dyDescent="0.3">
      <c r="A55" s="16" t="s">
        <v>204</v>
      </c>
      <c r="B55" s="28"/>
      <c r="D55" t="s">
        <v>205</v>
      </c>
    </row>
    <row r="56" spans="1:4" x14ac:dyDescent="0.3">
      <c r="A56" s="16" t="s">
        <v>206</v>
      </c>
      <c r="B56" s="28"/>
      <c r="D56" t="s">
        <v>207</v>
      </c>
    </row>
    <row r="57" spans="1:4" x14ac:dyDescent="0.3">
      <c r="A57" s="16" t="s">
        <v>208</v>
      </c>
      <c r="B57" s="28">
        <v>40000</v>
      </c>
      <c r="D57" t="s">
        <v>209</v>
      </c>
    </row>
    <row r="58" spans="1:4" x14ac:dyDescent="0.3">
      <c r="A58" s="16" t="s">
        <v>210</v>
      </c>
      <c r="B58" s="28"/>
      <c r="D58" t="s">
        <v>211</v>
      </c>
    </row>
    <row r="59" spans="1:4" x14ac:dyDescent="0.3">
      <c r="A59" s="16" t="s">
        <v>212</v>
      </c>
      <c r="B59" s="28">
        <v>15333.33</v>
      </c>
      <c r="D59" t="s">
        <v>213</v>
      </c>
    </row>
    <row r="60" spans="1:4" x14ac:dyDescent="0.3">
      <c r="A60" s="16" t="s">
        <v>214</v>
      </c>
      <c r="B60" s="28"/>
      <c r="D60" t="s">
        <v>215</v>
      </c>
    </row>
    <row r="62" spans="1:4" x14ac:dyDescent="0.3">
      <c r="A62" s="7" t="s">
        <v>216</v>
      </c>
      <c r="B62" s="52"/>
      <c r="C62" s="52"/>
      <c r="D62" s="52"/>
    </row>
    <row r="63" spans="1:4" x14ac:dyDescent="0.3">
      <c r="A63" s="16" t="s">
        <v>217</v>
      </c>
      <c r="B63" s="28"/>
      <c r="D63" t="s">
        <v>218</v>
      </c>
    </row>
    <row r="64" spans="1:4" x14ac:dyDescent="0.3">
      <c r="A64" s="16" t="s">
        <v>219</v>
      </c>
      <c r="B64" s="28"/>
      <c r="D64" t="s">
        <v>220</v>
      </c>
    </row>
    <row r="65" spans="1:4" x14ac:dyDescent="0.3">
      <c r="A65" s="16" t="s">
        <v>221</v>
      </c>
      <c r="B65" s="28"/>
      <c r="D65" t="s">
        <v>222</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57" t="s">
        <v>223</v>
      </c>
      <c r="B1" s="54"/>
      <c r="C1" s="54"/>
      <c r="D1" s="54"/>
    </row>
    <row r="3" spans="1:4" ht="30" customHeight="1" x14ac:dyDescent="0.3">
      <c r="A3" s="2" t="s">
        <v>151</v>
      </c>
      <c r="B3" s="2" t="s">
        <v>152</v>
      </c>
      <c r="C3" s="2"/>
      <c r="D3" s="2" t="s">
        <v>143</v>
      </c>
    </row>
    <row r="4" spans="1:4" ht="18" customHeight="1" x14ac:dyDescent="0.3">
      <c r="A4" s="63" t="s">
        <v>224</v>
      </c>
      <c r="B4" s="61"/>
      <c r="C4" s="61"/>
      <c r="D4" s="61"/>
    </row>
    <row r="5" spans="1:4" ht="15" customHeight="1" x14ac:dyDescent="0.3">
      <c r="A5" s="24" t="s">
        <v>225</v>
      </c>
      <c r="B5" s="25">
        <v>145000</v>
      </c>
    </row>
    <row r="6" spans="1:4" ht="15" customHeight="1" x14ac:dyDescent="0.3">
      <c r="A6" s="24" t="s">
        <v>226</v>
      </c>
      <c r="B6" s="25">
        <v>210000</v>
      </c>
    </row>
    <row r="7" spans="1:4" ht="15" customHeight="1" x14ac:dyDescent="0.3">
      <c r="A7" s="24" t="s">
        <v>227</v>
      </c>
      <c r="B7" s="25">
        <v>0</v>
      </c>
    </row>
    <row r="8" spans="1:4" ht="15" customHeight="1" x14ac:dyDescent="0.3">
      <c r="A8" s="24" t="s">
        <v>228</v>
      </c>
      <c r="B8" s="25">
        <v>15000</v>
      </c>
    </row>
    <row r="9" spans="1:4" ht="32.25" customHeight="1" x14ac:dyDescent="0.3">
      <c r="A9" s="24" t="s">
        <v>229</v>
      </c>
      <c r="B9" s="25">
        <v>380000</v>
      </c>
      <c r="D9" s="12" t="s">
        <v>230</v>
      </c>
    </row>
    <row r="10" spans="1:4" ht="32.25" customHeight="1" x14ac:dyDescent="0.3">
      <c r="A10" s="24" t="s">
        <v>231</v>
      </c>
      <c r="B10" s="25">
        <v>260000</v>
      </c>
      <c r="D10" s="12" t="s">
        <v>232</v>
      </c>
    </row>
    <row r="11" spans="1:4" ht="15" customHeight="1" x14ac:dyDescent="0.3">
      <c r="A11" s="24" t="s">
        <v>233</v>
      </c>
      <c r="B11" s="25">
        <v>100000</v>
      </c>
      <c r="D11" s="12" t="s">
        <v>234</v>
      </c>
    </row>
    <row r="12" spans="1:4" ht="15" customHeight="1" x14ac:dyDescent="0.3">
      <c r="A12" s="24" t="s">
        <v>235</v>
      </c>
      <c r="B12" s="25">
        <v>35000</v>
      </c>
      <c r="D12" s="12" t="s">
        <v>236</v>
      </c>
    </row>
    <row r="13" spans="1:4" ht="15" customHeight="1" x14ac:dyDescent="0.3">
      <c r="A13" s="29"/>
      <c r="B13" s="27"/>
    </row>
    <row r="14" spans="1:4" ht="15" customHeight="1" x14ac:dyDescent="0.3">
      <c r="A14" s="29"/>
      <c r="B14" s="27"/>
    </row>
    <row r="15" spans="1:4" ht="15" customHeight="1" x14ac:dyDescent="0.3">
      <c r="A15" s="16" t="s">
        <v>237</v>
      </c>
      <c r="B15" s="15">
        <f>SUM(B5:B14)</f>
        <v>1145000</v>
      </c>
    </row>
    <row r="16" spans="1:4" ht="15" customHeight="1" x14ac:dyDescent="0.3">
      <c r="A16" s="10"/>
      <c r="B16" s="31"/>
    </row>
    <row r="17" spans="1:4" ht="18" customHeight="1" x14ac:dyDescent="0.3">
      <c r="A17" s="63" t="s">
        <v>238</v>
      </c>
      <c r="B17" s="61"/>
      <c r="C17" s="61"/>
      <c r="D17" s="61"/>
    </row>
    <row r="18" spans="1:4" ht="15" customHeight="1" x14ac:dyDescent="0.3">
      <c r="A18" s="24" t="s">
        <v>239</v>
      </c>
      <c r="B18" s="25">
        <v>95000</v>
      </c>
    </row>
    <row r="19" spans="1:4" ht="15" customHeight="1" x14ac:dyDescent="0.3">
      <c r="A19" s="24" t="s">
        <v>240</v>
      </c>
      <c r="B19" s="25">
        <v>12000</v>
      </c>
      <c r="D19" s="12" t="s">
        <v>241</v>
      </c>
    </row>
    <row r="20" spans="1:4" ht="15" customHeight="1" x14ac:dyDescent="0.3">
      <c r="A20" s="24" t="s">
        <v>242</v>
      </c>
      <c r="B20" s="25">
        <v>40000</v>
      </c>
    </row>
    <row r="21" spans="1:4" ht="32.25" customHeight="1" x14ac:dyDescent="0.3">
      <c r="A21" s="24" t="s">
        <v>243</v>
      </c>
      <c r="B21" s="25">
        <v>25000</v>
      </c>
      <c r="D21" s="12" t="s">
        <v>244</v>
      </c>
    </row>
    <row r="22" spans="1:4" ht="15" customHeight="1" x14ac:dyDescent="0.3">
      <c r="A22" s="24" t="s">
        <v>245</v>
      </c>
      <c r="B22" s="25">
        <v>30000</v>
      </c>
    </row>
    <row r="23" spans="1:4" ht="15" customHeight="1" x14ac:dyDescent="0.3">
      <c r="A23" s="24" t="s">
        <v>246</v>
      </c>
      <c r="B23" s="25">
        <v>150000</v>
      </c>
    </row>
    <row r="24" spans="1:4" ht="15" customHeight="1" x14ac:dyDescent="0.3">
      <c r="A24" s="24" t="s">
        <v>247</v>
      </c>
      <c r="B24" s="25">
        <v>20000</v>
      </c>
    </row>
    <row r="25" spans="1:4" ht="15" customHeight="1" x14ac:dyDescent="0.3">
      <c r="A25" s="29"/>
      <c r="B25" s="27"/>
    </row>
    <row r="26" spans="1:4" ht="15" customHeight="1" x14ac:dyDescent="0.3">
      <c r="A26" s="29"/>
      <c r="B26" s="27"/>
    </row>
    <row r="27" spans="1:4" ht="15" customHeight="1" x14ac:dyDescent="0.3">
      <c r="A27" s="16" t="s">
        <v>248</v>
      </c>
      <c r="B27" s="15">
        <f>SUM(B18:B26)</f>
        <v>372000</v>
      </c>
    </row>
    <row r="28" spans="1:4" ht="15" customHeight="1" x14ac:dyDescent="0.3">
      <c r="A28" s="10"/>
      <c r="B28" s="31"/>
    </row>
    <row r="29" spans="1:4" ht="18" customHeight="1" x14ac:dyDescent="0.3">
      <c r="A29" s="63" t="s">
        <v>249</v>
      </c>
      <c r="B29" s="61"/>
      <c r="C29" s="61"/>
      <c r="D29" s="61"/>
    </row>
    <row r="30" spans="1:4" ht="15" customHeight="1" x14ac:dyDescent="0.3">
      <c r="A30" s="24" t="s">
        <v>250</v>
      </c>
      <c r="B30" s="25">
        <v>100</v>
      </c>
    </row>
    <row r="31" spans="1:4" ht="15" customHeight="1" x14ac:dyDescent="0.3">
      <c r="A31" s="24" t="s">
        <v>251</v>
      </c>
      <c r="B31" s="25">
        <v>90000</v>
      </c>
    </row>
    <row r="32" spans="1:4" ht="15" customHeight="1" x14ac:dyDescent="0.3">
      <c r="A32" s="24" t="s">
        <v>252</v>
      </c>
      <c r="B32" s="25">
        <v>397900</v>
      </c>
    </row>
    <row r="33" spans="1:4" ht="15" customHeight="1" x14ac:dyDescent="0.3">
      <c r="A33" s="24" t="s">
        <v>253</v>
      </c>
      <c r="B33" s="13">
        <f>'3. Income Statement'!B49</f>
        <v>285000</v>
      </c>
    </row>
    <row r="34" spans="1:4" ht="15" customHeight="1" x14ac:dyDescent="0.3">
      <c r="A34" s="16" t="s">
        <v>254</v>
      </c>
      <c r="B34" s="15">
        <f>SUM(B30:B33)</f>
        <v>773000</v>
      </c>
    </row>
    <row r="35" spans="1:4" ht="15" customHeight="1" x14ac:dyDescent="0.3">
      <c r="A35" s="10"/>
      <c r="B35" s="31"/>
    </row>
    <row r="36" spans="1:4" ht="15" customHeight="1" x14ac:dyDescent="0.3">
      <c r="A36" s="16" t="s">
        <v>255</v>
      </c>
      <c r="B36" s="15">
        <f>B27+B34</f>
        <v>1145000</v>
      </c>
    </row>
    <row r="37" spans="1:4" ht="15" customHeight="1" x14ac:dyDescent="0.3">
      <c r="A37" s="16" t="s">
        <v>256</v>
      </c>
      <c r="B37" s="15">
        <f>B15-(B27+B34)</f>
        <v>0</v>
      </c>
    </row>
    <row r="38" spans="1:4" ht="15" customHeight="1" x14ac:dyDescent="0.3">
      <c r="A38" s="10"/>
      <c r="B38" s="31"/>
    </row>
    <row r="39" spans="1:4" ht="18" customHeight="1" x14ac:dyDescent="0.3">
      <c r="A39" s="63" t="s">
        <v>257</v>
      </c>
      <c r="B39" s="61"/>
      <c r="C39" s="61"/>
      <c r="D39" s="61"/>
    </row>
    <row r="40" spans="1:4" ht="63.75" customHeight="1" x14ac:dyDescent="0.3">
      <c r="A40" s="26" t="s">
        <v>258</v>
      </c>
      <c r="B40" s="31"/>
      <c r="D40" s="12" t="s">
        <v>259</v>
      </c>
    </row>
    <row r="41" spans="1:4" ht="42.75" customHeight="1" x14ac:dyDescent="0.3">
      <c r="A41" s="16" t="s">
        <v>260</v>
      </c>
      <c r="B41" s="15">
        <f>B15</f>
        <v>1145000</v>
      </c>
      <c r="D41" s="12" t="s">
        <v>261</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57" t="s">
        <v>262</v>
      </c>
      <c r="B1" s="54"/>
      <c r="C1" s="54"/>
      <c r="D1" s="54"/>
    </row>
    <row r="2" spans="1:4" ht="21.75" customHeight="1" x14ac:dyDescent="0.3">
      <c r="A2" s="56" t="s">
        <v>263</v>
      </c>
      <c r="B2" s="54"/>
      <c r="C2" s="54"/>
      <c r="D2" s="54"/>
    </row>
    <row r="4" spans="1:4" ht="18" customHeight="1" x14ac:dyDescent="0.3">
      <c r="A4" s="63" t="s">
        <v>264</v>
      </c>
      <c r="B4" s="61"/>
      <c r="C4" s="61"/>
      <c r="D4" s="61"/>
    </row>
    <row r="5" spans="1:4" ht="15" customHeight="1" x14ac:dyDescent="0.3">
      <c r="A5" s="67" t="s">
        <v>265</v>
      </c>
      <c r="B5" s="66"/>
      <c r="C5" s="27">
        <v>18500</v>
      </c>
      <c r="D5" s="1" t="s">
        <v>266</v>
      </c>
    </row>
    <row r="6" spans="1:4" ht="15" customHeight="1" x14ac:dyDescent="0.3">
      <c r="A6" s="67" t="s">
        <v>78</v>
      </c>
      <c r="B6" s="66"/>
      <c r="C6" s="27">
        <v>42300</v>
      </c>
      <c r="D6" s="1" t="s">
        <v>267</v>
      </c>
    </row>
    <row r="7" spans="1:4" ht="15" customHeight="1" x14ac:dyDescent="0.3">
      <c r="A7" s="10"/>
      <c r="B7" s="10"/>
      <c r="C7" s="10"/>
    </row>
    <row r="8" spans="1:4" ht="18" customHeight="1" x14ac:dyDescent="0.3">
      <c r="A8" s="63" t="s">
        <v>268</v>
      </c>
      <c r="B8" s="61"/>
      <c r="C8" s="61"/>
      <c r="D8" s="61"/>
    </row>
    <row r="9" spans="1:4" ht="15" customHeight="1" x14ac:dyDescent="0.3">
      <c r="A9" s="67" t="s">
        <v>269</v>
      </c>
      <c r="B9" s="66"/>
      <c r="C9" s="27">
        <v>65000</v>
      </c>
      <c r="D9" s="1" t="s">
        <v>270</v>
      </c>
    </row>
    <row r="10" spans="1:4" ht="15" customHeight="1" x14ac:dyDescent="0.3">
      <c r="A10" s="10"/>
      <c r="B10" s="10"/>
      <c r="C10" s="10"/>
    </row>
    <row r="11" spans="1:4" ht="18" customHeight="1" x14ac:dyDescent="0.3">
      <c r="A11" s="63" t="s">
        <v>271</v>
      </c>
      <c r="B11" s="61"/>
      <c r="C11" s="61"/>
      <c r="D11" s="61"/>
    </row>
    <row r="12" spans="1:4" ht="15" customHeight="1" x14ac:dyDescent="0.3">
      <c r="A12" s="67" t="s">
        <v>272</v>
      </c>
      <c r="B12" s="66"/>
      <c r="C12" s="27">
        <v>22000</v>
      </c>
      <c r="D12" s="1" t="s">
        <v>273</v>
      </c>
    </row>
    <row r="13" spans="1:4" ht="15" customHeight="1" x14ac:dyDescent="0.3">
      <c r="A13" s="10"/>
      <c r="B13" s="10"/>
      <c r="C13" s="10"/>
    </row>
    <row r="14" spans="1:4" ht="18" customHeight="1" x14ac:dyDescent="0.3">
      <c r="A14" s="63" t="s">
        <v>274</v>
      </c>
      <c r="B14" s="61"/>
      <c r="C14" s="61"/>
      <c r="D14" s="61"/>
    </row>
    <row r="15" spans="1:4" ht="30" customHeight="1" x14ac:dyDescent="0.3">
      <c r="A15" s="2" t="s">
        <v>275</v>
      </c>
      <c r="B15" s="2" t="s">
        <v>152</v>
      </c>
      <c r="C15" s="2" t="s">
        <v>276</v>
      </c>
      <c r="D15" s="2" t="s">
        <v>143</v>
      </c>
    </row>
    <row r="16" spans="1:4" ht="15" customHeight="1" x14ac:dyDescent="0.3">
      <c r="A16" s="24">
        <v>2022</v>
      </c>
      <c r="B16" s="28">
        <v>15000</v>
      </c>
      <c r="C16" s="8">
        <f>A16+20</f>
        <v>2042</v>
      </c>
    </row>
    <row r="17" spans="1:4" ht="15" customHeight="1" x14ac:dyDescent="0.3">
      <c r="A17" s="23">
        <v>2023</v>
      </c>
      <c r="B17" s="23">
        <v>8000</v>
      </c>
      <c r="C17" s="8">
        <f>IF(A17=0,0,A17+20)</f>
        <v>2043</v>
      </c>
    </row>
    <row r="18" spans="1:4" ht="15" customHeight="1" x14ac:dyDescent="0.3">
      <c r="A18" s="23"/>
      <c r="B18" s="23"/>
      <c r="C18" s="8">
        <f>IF(A18=0,0,A18+20)</f>
        <v>0</v>
      </c>
    </row>
    <row r="19" spans="1:4" ht="15" customHeight="1" x14ac:dyDescent="0.3">
      <c r="A19" s="23"/>
      <c r="B19" s="23"/>
      <c r="C19" s="8">
        <f>IF(A19=0,0,A19+20)</f>
        <v>0</v>
      </c>
    </row>
    <row r="20" spans="1:4" ht="15" customHeight="1" x14ac:dyDescent="0.3">
      <c r="A20" s="10"/>
      <c r="B20" s="10"/>
      <c r="C20" s="10"/>
    </row>
    <row r="21" spans="1:4" ht="18" customHeight="1" x14ac:dyDescent="0.3">
      <c r="A21" s="63" t="s">
        <v>277</v>
      </c>
      <c r="B21" s="61"/>
      <c r="C21" s="61"/>
      <c r="D21" s="61"/>
    </row>
    <row r="22" spans="1:4" ht="30" customHeight="1" x14ac:dyDescent="0.3">
      <c r="A22" s="2" t="s">
        <v>275</v>
      </c>
      <c r="B22" s="2" t="s">
        <v>152</v>
      </c>
      <c r="C22" s="2"/>
      <c r="D22" s="2" t="s">
        <v>143</v>
      </c>
    </row>
    <row r="23" spans="1:4" ht="15" customHeight="1" x14ac:dyDescent="0.3">
      <c r="A23" s="23">
        <v>2021</v>
      </c>
      <c r="B23" s="23">
        <v>5000</v>
      </c>
      <c r="C23" s="10"/>
    </row>
    <row r="24" spans="1:4" ht="15" customHeight="1" x14ac:dyDescent="0.3">
      <c r="A24" s="23"/>
      <c r="B24" s="23"/>
      <c r="C24" s="10"/>
    </row>
    <row r="25" spans="1:4" ht="15" customHeight="1" x14ac:dyDescent="0.3">
      <c r="A25" s="10"/>
      <c r="B25" s="10"/>
      <c r="C25" s="10"/>
    </row>
    <row r="26" spans="1:4" ht="18" customHeight="1" x14ac:dyDescent="0.3">
      <c r="A26" s="63" t="s">
        <v>278</v>
      </c>
      <c r="B26" s="61"/>
      <c r="C26" s="61"/>
      <c r="D26" s="61"/>
    </row>
    <row r="27" spans="1:4" ht="15" customHeight="1" x14ac:dyDescent="0.3">
      <c r="A27" s="67" t="s">
        <v>279</v>
      </c>
      <c r="B27" s="66"/>
      <c r="C27" s="27">
        <v>0</v>
      </c>
      <c r="D27" s="1" t="s">
        <v>280</v>
      </c>
    </row>
    <row r="28" spans="1:4" ht="15" customHeight="1" x14ac:dyDescent="0.3">
      <c r="A28" s="67" t="s">
        <v>281</v>
      </c>
      <c r="B28" s="66"/>
      <c r="C28" s="27">
        <v>0</v>
      </c>
    </row>
    <row r="30" spans="1:4" x14ac:dyDescent="0.3">
      <c r="A30" s="8" t="s">
        <v>282</v>
      </c>
      <c r="C30" s="27"/>
      <c r="D30" s="1" t="s">
        <v>283</v>
      </c>
    </row>
  </sheetData>
  <mergeCells count="14">
    <mergeCell ref="A1:D1"/>
    <mergeCell ref="A8:D8"/>
    <mergeCell ref="A4:D4"/>
    <mergeCell ref="A26:D26"/>
    <mergeCell ref="A21:D21"/>
    <mergeCell ref="A5:B5"/>
    <mergeCell ref="A28:B28"/>
    <mergeCell ref="A2:D2"/>
    <mergeCell ref="A11:D11"/>
    <mergeCell ref="A9:B9"/>
    <mergeCell ref="A27:B27"/>
    <mergeCell ref="A6:B6"/>
    <mergeCell ref="A14:D14"/>
    <mergeCell ref="A12:B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57" t="s">
        <v>284</v>
      </c>
      <c r="B1" s="54"/>
      <c r="C1" s="54"/>
      <c r="D1" s="54"/>
      <c r="E1" s="54"/>
      <c r="F1" s="54"/>
      <c r="G1" s="54"/>
      <c r="H1" s="54"/>
      <c r="I1" s="54"/>
      <c r="J1" s="54"/>
    </row>
    <row r="3" spans="1:10" ht="30" customHeight="1" x14ac:dyDescent="0.3">
      <c r="A3" s="2" t="s">
        <v>285</v>
      </c>
      <c r="B3" s="2" t="s">
        <v>286</v>
      </c>
      <c r="C3" s="2" t="s">
        <v>287</v>
      </c>
      <c r="D3" s="2" t="s">
        <v>288</v>
      </c>
      <c r="E3" s="2" t="s">
        <v>289</v>
      </c>
      <c r="F3" s="2" t="s">
        <v>290</v>
      </c>
      <c r="G3" s="2" t="s">
        <v>291</v>
      </c>
      <c r="H3" s="2" t="s">
        <v>292</v>
      </c>
      <c r="I3" s="2" t="s">
        <v>293</v>
      </c>
      <c r="J3" s="2" t="s">
        <v>143</v>
      </c>
    </row>
    <row r="4" spans="1:10" ht="21.75" customHeight="1" x14ac:dyDescent="0.3">
      <c r="A4" s="32" t="s">
        <v>294</v>
      </c>
      <c r="B4" s="3">
        <v>180000</v>
      </c>
      <c r="C4" s="3">
        <v>0</v>
      </c>
      <c r="D4" s="3" t="s">
        <v>122</v>
      </c>
      <c r="E4" s="3">
        <v>0</v>
      </c>
      <c r="F4" s="4">
        <f t="shared" ref="F4:F12" si="0">B4+C4-E4-IF(D4="Yes",0,C4*0.5)</f>
        <v>180000</v>
      </c>
      <c r="G4" s="33">
        <v>0.04</v>
      </c>
      <c r="H4" s="4">
        <f t="shared" ref="H4:H12" si="1">MIN(F4*G4, B4+C4-E4)</f>
        <v>7200</v>
      </c>
      <c r="I4" s="4">
        <f t="shared" ref="I4:I12" si="2">B4+C4-E4-H4</f>
        <v>172800</v>
      </c>
      <c r="J4" s="12" t="s">
        <v>295</v>
      </c>
    </row>
    <row r="5" spans="1:10" ht="15" customHeight="1" x14ac:dyDescent="0.3">
      <c r="A5" s="32" t="s">
        <v>296</v>
      </c>
      <c r="B5" s="3">
        <v>45000</v>
      </c>
      <c r="C5" s="3">
        <v>12000</v>
      </c>
      <c r="D5" s="3" t="s">
        <v>122</v>
      </c>
      <c r="E5" s="3">
        <v>0</v>
      </c>
      <c r="F5" s="4">
        <f t="shared" si="0"/>
        <v>51000</v>
      </c>
      <c r="G5" s="33">
        <v>0.2</v>
      </c>
      <c r="H5" s="4">
        <f t="shared" si="1"/>
        <v>10200</v>
      </c>
      <c r="I5" s="4">
        <f t="shared" si="2"/>
        <v>46800</v>
      </c>
      <c r="J5" s="12" t="s">
        <v>297</v>
      </c>
    </row>
    <row r="6" spans="1:10" ht="15" customHeight="1" x14ac:dyDescent="0.3">
      <c r="A6" s="32" t="s">
        <v>298</v>
      </c>
      <c r="B6" s="3">
        <v>22000</v>
      </c>
      <c r="C6" s="3">
        <v>0</v>
      </c>
      <c r="D6" s="3" t="s">
        <v>122</v>
      </c>
      <c r="E6" s="3">
        <v>0</v>
      </c>
      <c r="F6" s="4">
        <f t="shared" si="0"/>
        <v>22000</v>
      </c>
      <c r="G6" s="33">
        <v>0.3</v>
      </c>
      <c r="H6" s="4">
        <f t="shared" si="1"/>
        <v>6600</v>
      </c>
      <c r="I6" s="4">
        <f t="shared" si="2"/>
        <v>15400</v>
      </c>
      <c r="J6" s="12"/>
    </row>
    <row r="7" spans="1:10" ht="32.25" customHeight="1" x14ac:dyDescent="0.3">
      <c r="A7" s="32" t="s">
        <v>299</v>
      </c>
      <c r="B7" s="3">
        <v>8000</v>
      </c>
      <c r="C7" s="3">
        <v>15000</v>
      </c>
      <c r="D7" s="3" t="s">
        <v>113</v>
      </c>
      <c r="E7" s="3">
        <v>0</v>
      </c>
      <c r="F7" s="4">
        <f t="shared" si="0"/>
        <v>23000</v>
      </c>
      <c r="G7" s="33">
        <v>0.55000000000000004</v>
      </c>
      <c r="H7" s="4">
        <f t="shared" si="1"/>
        <v>12650.000000000002</v>
      </c>
      <c r="I7" s="4">
        <f t="shared" si="2"/>
        <v>10349.999999999998</v>
      </c>
      <c r="J7" s="12" t="s">
        <v>300</v>
      </c>
    </row>
    <row r="8" spans="1:10" ht="15" customHeight="1" x14ac:dyDescent="0.3">
      <c r="A8" s="32" t="s">
        <v>301</v>
      </c>
      <c r="B8" s="3">
        <v>5000</v>
      </c>
      <c r="C8" s="3">
        <v>0</v>
      </c>
      <c r="D8" s="3" t="s">
        <v>122</v>
      </c>
      <c r="E8" s="3">
        <v>0</v>
      </c>
      <c r="F8" s="4">
        <f t="shared" si="0"/>
        <v>5000</v>
      </c>
      <c r="G8" s="33">
        <v>0.05</v>
      </c>
      <c r="H8" s="4">
        <f t="shared" si="1"/>
        <v>250</v>
      </c>
      <c r="I8" s="4">
        <f t="shared" si="2"/>
        <v>4750</v>
      </c>
      <c r="J8" s="12" t="s">
        <v>302</v>
      </c>
    </row>
    <row r="9" spans="1:10" ht="15" customHeight="1" x14ac:dyDescent="0.3">
      <c r="A9" s="23"/>
      <c r="B9" s="27"/>
      <c r="C9" s="27"/>
      <c r="D9" s="23"/>
      <c r="E9" s="27"/>
      <c r="F9" s="15">
        <f t="shared" si="0"/>
        <v>0</v>
      </c>
      <c r="G9" s="34"/>
      <c r="H9" s="15">
        <f t="shared" si="1"/>
        <v>0</v>
      </c>
      <c r="I9" s="15">
        <f t="shared" si="2"/>
        <v>0</v>
      </c>
      <c r="J9" s="23"/>
    </row>
    <row r="10" spans="1:10" ht="15" customHeight="1" x14ac:dyDescent="0.3">
      <c r="A10" s="23"/>
      <c r="B10" s="27"/>
      <c r="C10" s="27"/>
      <c r="D10" s="23"/>
      <c r="E10" s="27"/>
      <c r="F10" s="15">
        <f t="shared" si="0"/>
        <v>0</v>
      </c>
      <c r="G10" s="34"/>
      <c r="H10" s="15">
        <f t="shared" si="1"/>
        <v>0</v>
      </c>
      <c r="I10" s="15">
        <f t="shared" si="2"/>
        <v>0</v>
      </c>
      <c r="J10" s="23"/>
    </row>
    <row r="11" spans="1:10" ht="15" customHeight="1" x14ac:dyDescent="0.3">
      <c r="A11" s="23"/>
      <c r="B11" s="27"/>
      <c r="C11" s="27"/>
      <c r="D11" s="23"/>
      <c r="E11" s="27"/>
      <c r="F11" s="15">
        <f t="shared" si="0"/>
        <v>0</v>
      </c>
      <c r="G11" s="34"/>
      <c r="H11" s="15">
        <f t="shared" si="1"/>
        <v>0</v>
      </c>
      <c r="I11" s="15">
        <f t="shared" si="2"/>
        <v>0</v>
      </c>
      <c r="J11" s="23"/>
    </row>
    <row r="12" spans="1:10" ht="15" customHeight="1" x14ac:dyDescent="0.3">
      <c r="A12" s="23"/>
      <c r="B12" s="27"/>
      <c r="C12" s="27"/>
      <c r="D12" s="23"/>
      <c r="E12" s="27"/>
      <c r="F12" s="15">
        <f t="shared" si="0"/>
        <v>0</v>
      </c>
      <c r="G12" s="34"/>
      <c r="H12" s="15">
        <f t="shared" si="1"/>
        <v>0</v>
      </c>
      <c r="I12" s="15">
        <f t="shared" si="2"/>
        <v>0</v>
      </c>
      <c r="J12" s="23"/>
    </row>
    <row r="13" spans="1:10" ht="15" customHeight="1" x14ac:dyDescent="0.3">
      <c r="A13" s="16" t="s">
        <v>148</v>
      </c>
      <c r="B13" s="15">
        <f>SUM(B4:B12)</f>
        <v>260000</v>
      </c>
      <c r="C13" s="15">
        <f>SUM(C4:C12)</f>
        <v>27000</v>
      </c>
      <c r="D13" s="10"/>
      <c r="E13" s="15">
        <f>SUM(E4:E12)</f>
        <v>0</v>
      </c>
      <c r="F13" s="10"/>
      <c r="G13" s="10"/>
      <c r="H13" s="15">
        <f>SUM(H4:H12)</f>
        <v>36900</v>
      </c>
      <c r="I13" s="15">
        <f>SUM(I4:I12)</f>
        <v>250100</v>
      </c>
      <c r="J13" s="10"/>
    </row>
    <row r="15" spans="1:10" ht="15" customHeight="1" x14ac:dyDescent="0.3">
      <c r="A15" s="64" t="s">
        <v>303</v>
      </c>
      <c r="B15" s="54"/>
      <c r="C15" s="54"/>
      <c r="D15" s="54"/>
      <c r="E15" s="54"/>
      <c r="F15" s="54"/>
      <c r="G15" s="54"/>
      <c r="H15" s="54"/>
      <c r="I15" s="54"/>
      <c r="J15" s="54"/>
    </row>
    <row r="16" spans="1:10" ht="15" customHeight="1" x14ac:dyDescent="0.3">
      <c r="A16" s="54"/>
      <c r="B16" s="54"/>
      <c r="C16" s="54"/>
      <c r="D16" s="54"/>
      <c r="E16" s="54"/>
      <c r="F16" s="54"/>
      <c r="G16" s="54"/>
      <c r="H16" s="54"/>
      <c r="I16" s="54"/>
      <c r="J16" s="54"/>
    </row>
    <row r="17" spans="1:10" ht="15" customHeight="1" x14ac:dyDescent="0.3">
      <c r="A17" s="54"/>
      <c r="B17" s="54"/>
      <c r="C17" s="54"/>
      <c r="D17" s="54"/>
      <c r="E17" s="54"/>
      <c r="F17" s="54"/>
      <c r="G17" s="54"/>
      <c r="H17" s="54"/>
      <c r="I17" s="54"/>
      <c r="J17" s="54"/>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57" t="s">
        <v>304</v>
      </c>
      <c r="B1" s="54"/>
      <c r="C1" s="54"/>
      <c r="D1" s="54"/>
      <c r="E1" s="54"/>
      <c r="F1" s="54"/>
      <c r="G1" s="54"/>
    </row>
    <row r="2" spans="1:7" ht="21.75" customHeight="1" x14ac:dyDescent="0.3">
      <c r="A2" s="56" t="s">
        <v>305</v>
      </c>
      <c r="B2" s="54"/>
      <c r="C2" s="54"/>
      <c r="D2" s="54"/>
      <c r="E2" s="54"/>
      <c r="F2" s="54"/>
      <c r="G2" s="54"/>
    </row>
    <row r="4" spans="1:7" ht="30" customHeight="1" x14ac:dyDescent="0.3">
      <c r="A4" s="2" t="s">
        <v>306</v>
      </c>
      <c r="B4" s="2" t="s">
        <v>307</v>
      </c>
      <c r="C4" s="2" t="s">
        <v>308</v>
      </c>
      <c r="D4" s="2" t="s">
        <v>309</v>
      </c>
      <c r="E4" s="2" t="s">
        <v>310</v>
      </c>
      <c r="F4" s="2" t="s">
        <v>311</v>
      </c>
      <c r="G4" s="2" t="s">
        <v>143</v>
      </c>
    </row>
    <row r="5" spans="1:7" ht="15" customHeight="1" x14ac:dyDescent="0.3">
      <c r="A5" s="24" t="s">
        <v>312</v>
      </c>
      <c r="B5" s="28" t="s">
        <v>313</v>
      </c>
      <c r="C5" s="35">
        <v>1</v>
      </c>
      <c r="D5" s="9">
        <f>'3. Income Statement'!B47</f>
        <v>190000</v>
      </c>
      <c r="E5" s="13">
        <f>'4. Balance Sheet'!B41</f>
        <v>1145000</v>
      </c>
      <c r="F5" s="28">
        <v>350000</v>
      </c>
      <c r="G5" s="26" t="s">
        <v>314</v>
      </c>
    </row>
    <row r="6" spans="1:7" ht="32.25" customHeight="1" x14ac:dyDescent="0.3">
      <c r="A6" s="24" t="s">
        <v>315</v>
      </c>
      <c r="B6" s="28" t="s">
        <v>316</v>
      </c>
      <c r="C6" s="35">
        <v>1</v>
      </c>
      <c r="D6" s="28">
        <v>60000</v>
      </c>
      <c r="E6" s="28">
        <v>420000</v>
      </c>
      <c r="F6" s="28">
        <v>150000</v>
      </c>
      <c r="G6" s="36" t="s">
        <v>317</v>
      </c>
    </row>
    <row r="7" spans="1:7" ht="15" customHeight="1" x14ac:dyDescent="0.3">
      <c r="A7" s="23"/>
      <c r="B7" s="23"/>
      <c r="C7" s="34"/>
      <c r="D7" s="27"/>
      <c r="E7" s="27"/>
      <c r="F7" s="27"/>
      <c r="G7" s="23"/>
    </row>
    <row r="8" spans="1:7" ht="15" customHeight="1" x14ac:dyDescent="0.3">
      <c r="A8" s="23"/>
      <c r="B8" s="23"/>
      <c r="C8" s="34"/>
      <c r="D8" s="27"/>
      <c r="E8" s="27"/>
      <c r="F8" s="27"/>
      <c r="G8" s="23"/>
    </row>
    <row r="9" spans="1:7" ht="15" customHeight="1" x14ac:dyDescent="0.3">
      <c r="A9" s="23"/>
      <c r="B9" s="23"/>
      <c r="C9" s="34"/>
      <c r="D9" s="27"/>
      <c r="E9" s="27"/>
      <c r="F9" s="27"/>
      <c r="G9" s="23"/>
    </row>
    <row r="10" spans="1:7" ht="15" customHeight="1" x14ac:dyDescent="0.3">
      <c r="A10" s="16" t="s">
        <v>148</v>
      </c>
      <c r="B10" s="10"/>
      <c r="C10" s="10"/>
      <c r="D10" s="15">
        <f>SUM(D5:D9)</f>
        <v>250000</v>
      </c>
      <c r="E10" s="15">
        <f>SUM(E5:E9)</f>
        <v>1565000</v>
      </c>
      <c r="F10" s="15">
        <f>SUM(F5:F9)</f>
        <v>500000</v>
      </c>
      <c r="G10" s="10"/>
    </row>
    <row r="11" spans="1:7" ht="15" customHeight="1" x14ac:dyDescent="0.3">
      <c r="A11" s="26" t="s">
        <v>318</v>
      </c>
      <c r="B11" s="10"/>
      <c r="C11" s="10"/>
      <c r="D11" s="10"/>
      <c r="E11" s="10"/>
      <c r="F11" s="37">
        <f>F10-500000</f>
        <v>0</v>
      </c>
      <c r="G11" s="10"/>
    </row>
    <row r="12" spans="1:7" ht="15" customHeight="1" x14ac:dyDescent="0.3">
      <c r="A12" s="10"/>
      <c r="B12" s="10"/>
      <c r="C12" s="10"/>
      <c r="D12" s="10"/>
      <c r="E12" s="10"/>
      <c r="F12" s="10"/>
      <c r="G12" s="10"/>
    </row>
    <row r="13" spans="1:7" ht="15" customHeight="1" x14ac:dyDescent="0.3">
      <c r="A13" s="67" t="s">
        <v>319</v>
      </c>
      <c r="B13" s="66"/>
      <c r="C13" s="23" t="s">
        <v>113</v>
      </c>
      <c r="D13" s="10"/>
      <c r="E13" s="10"/>
      <c r="F13" s="10"/>
      <c r="G13" s="10"/>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57" t="s">
        <v>320</v>
      </c>
      <c r="B1" s="54"/>
      <c r="C1" s="54"/>
      <c r="D1" s="54"/>
      <c r="E1" s="54"/>
      <c r="F1" s="54"/>
      <c r="G1" s="54"/>
      <c r="H1" s="54"/>
      <c r="I1" s="54"/>
      <c r="J1" s="54"/>
      <c r="K1" s="54"/>
    </row>
    <row r="3" spans="1:11" ht="30" customHeight="1" x14ac:dyDescent="0.3">
      <c r="A3" s="2" t="s">
        <v>321</v>
      </c>
      <c r="B3" s="2" t="s">
        <v>322</v>
      </c>
      <c r="C3" s="2" t="s">
        <v>323</v>
      </c>
      <c r="D3" s="2" t="s">
        <v>324</v>
      </c>
      <c r="E3" s="2" t="s">
        <v>325</v>
      </c>
      <c r="F3" s="2" t="s">
        <v>326</v>
      </c>
      <c r="G3" s="2" t="s">
        <v>327</v>
      </c>
      <c r="H3" s="2" t="s">
        <v>328</v>
      </c>
      <c r="I3" s="2" t="s">
        <v>329</v>
      </c>
      <c r="J3" s="2" t="s">
        <v>330</v>
      </c>
      <c r="K3" s="2" t="s">
        <v>143</v>
      </c>
    </row>
    <row r="4" spans="1:11" ht="23.25" customHeight="1" x14ac:dyDescent="0.3">
      <c r="A4" s="24" t="s">
        <v>331</v>
      </c>
      <c r="B4" s="28" t="s">
        <v>313</v>
      </c>
      <c r="C4" s="28" t="s">
        <v>332</v>
      </c>
      <c r="D4" s="35">
        <v>0.6</v>
      </c>
      <c r="E4" s="35">
        <v>0.6</v>
      </c>
      <c r="F4" s="28">
        <v>44</v>
      </c>
      <c r="G4" s="28">
        <v>45</v>
      </c>
      <c r="H4" s="28">
        <v>8</v>
      </c>
      <c r="I4" s="28" t="s">
        <v>333</v>
      </c>
      <c r="J4" s="25">
        <v>0</v>
      </c>
      <c r="K4" s="30" t="s">
        <v>334</v>
      </c>
    </row>
    <row r="5" spans="1:11" ht="57" customHeight="1" x14ac:dyDescent="0.3">
      <c r="A5" s="24" t="s">
        <v>335</v>
      </c>
      <c r="B5" s="28" t="s">
        <v>336</v>
      </c>
      <c r="C5" s="28" t="s">
        <v>337</v>
      </c>
      <c r="D5" s="35">
        <v>0.1</v>
      </c>
      <c r="E5" s="35">
        <v>0.1</v>
      </c>
      <c r="F5" s="28">
        <v>42</v>
      </c>
      <c r="G5" s="28">
        <v>5</v>
      </c>
      <c r="H5" s="28">
        <v>3</v>
      </c>
      <c r="I5" s="21" t="s">
        <v>338</v>
      </c>
      <c r="J5" s="25">
        <v>95000</v>
      </c>
      <c r="K5" s="30" t="s">
        <v>339</v>
      </c>
    </row>
    <row r="6" spans="1:11" ht="45.75" customHeight="1" x14ac:dyDescent="0.3">
      <c r="A6" s="24" t="s">
        <v>340</v>
      </c>
      <c r="B6" s="28" t="s">
        <v>341</v>
      </c>
      <c r="C6" s="28" t="s">
        <v>342</v>
      </c>
      <c r="D6" s="35">
        <v>0</v>
      </c>
      <c r="E6" s="35">
        <v>0.3</v>
      </c>
      <c r="F6" s="28"/>
      <c r="G6" s="28">
        <v>0</v>
      </c>
      <c r="H6" s="28">
        <v>0</v>
      </c>
      <c r="I6" s="28" t="s">
        <v>343</v>
      </c>
      <c r="J6" s="25">
        <v>0</v>
      </c>
      <c r="K6" s="30" t="s">
        <v>344</v>
      </c>
    </row>
    <row r="7" spans="1:11" ht="15" customHeight="1" x14ac:dyDescent="0.3">
      <c r="A7" s="23"/>
      <c r="B7" s="23"/>
      <c r="C7" s="23"/>
      <c r="D7" s="34"/>
      <c r="E7" s="34"/>
      <c r="F7" s="23"/>
      <c r="G7" s="23"/>
      <c r="H7" s="23"/>
      <c r="I7" s="23"/>
      <c r="J7" s="27"/>
      <c r="K7" s="23"/>
    </row>
    <row r="8" spans="1:11" ht="15" customHeight="1" x14ac:dyDescent="0.3">
      <c r="A8" s="23"/>
      <c r="B8" s="23"/>
      <c r="C8" s="23"/>
      <c r="D8" s="34"/>
      <c r="E8" s="34"/>
      <c r="F8" s="23"/>
      <c r="G8" s="23"/>
      <c r="H8" s="23"/>
      <c r="I8" s="23"/>
      <c r="J8" s="27"/>
      <c r="K8" s="23"/>
    </row>
    <row r="9" spans="1:11" ht="15" customHeight="1" x14ac:dyDescent="0.3">
      <c r="A9" s="23"/>
      <c r="B9" s="23"/>
      <c r="C9" s="23"/>
      <c r="D9" s="34"/>
      <c r="E9" s="34"/>
      <c r="F9" s="23"/>
      <c r="G9" s="23"/>
      <c r="H9" s="23"/>
      <c r="I9" s="23"/>
      <c r="J9" s="27"/>
      <c r="K9" s="23"/>
    </row>
    <row r="10" spans="1:11" ht="15" customHeight="1" x14ac:dyDescent="0.3">
      <c r="A10" s="23"/>
      <c r="B10" s="23"/>
      <c r="C10" s="23"/>
      <c r="D10" s="34"/>
      <c r="E10" s="34"/>
      <c r="F10" s="23"/>
      <c r="G10" s="23"/>
      <c r="H10" s="23"/>
      <c r="I10" s="23"/>
      <c r="J10" s="27"/>
      <c r="K10" s="23"/>
    </row>
    <row r="11" spans="1:11" ht="53.25" customHeight="1" x14ac:dyDescent="0.3">
      <c r="A11" s="16" t="s">
        <v>148</v>
      </c>
      <c r="B11" s="10"/>
      <c r="C11" s="10"/>
      <c r="D11" s="38">
        <f>SUM(D4:D10)</f>
        <v>0.7</v>
      </c>
      <c r="E11" s="38">
        <f>SUM(E4:E10)</f>
        <v>1</v>
      </c>
      <c r="F11" s="10"/>
      <c r="G11" s="10"/>
      <c r="H11" s="10"/>
      <c r="I11" s="8" t="str">
        <f>COUNTIF(I4:I10,"Not Excluded - TOSI Risk")&amp;" shareholder(s) flagged for TOSI risk"</f>
        <v>1 shareholder(s) flagged for TOSI risk</v>
      </c>
      <c r="J11" s="10"/>
      <c r="K11" s="36" t="s">
        <v>345</v>
      </c>
    </row>
    <row r="12" spans="1:11" ht="15" customHeight="1" x14ac:dyDescent="0.3">
      <c r="A12" s="10"/>
      <c r="B12" s="10"/>
      <c r="C12" s="10"/>
      <c r="D12" s="10"/>
      <c r="E12" s="10"/>
      <c r="F12" s="10"/>
      <c r="G12" s="10"/>
      <c r="H12" s="10"/>
      <c r="I12" s="10"/>
      <c r="J12" s="10"/>
      <c r="K12" s="10"/>
    </row>
    <row r="13" spans="1:11" ht="18" customHeight="1" x14ac:dyDescent="0.3">
      <c r="A13" s="68" t="s">
        <v>346</v>
      </c>
      <c r="B13" s="61"/>
      <c r="C13" s="61"/>
      <c r="D13" s="61"/>
      <c r="E13" s="61"/>
      <c r="F13" s="61"/>
      <c r="G13" s="61"/>
      <c r="H13" s="61"/>
      <c r="I13" s="61"/>
      <c r="J13" s="61"/>
      <c r="K13" s="66"/>
    </row>
    <row r="14" spans="1:11" ht="30" customHeight="1" x14ac:dyDescent="0.3">
      <c r="A14" s="2" t="s">
        <v>321</v>
      </c>
      <c r="B14" s="2" t="s">
        <v>347</v>
      </c>
      <c r="C14" s="2" t="s">
        <v>348</v>
      </c>
      <c r="D14" s="2" t="s">
        <v>349</v>
      </c>
      <c r="E14" s="2"/>
      <c r="F14" s="2"/>
      <c r="G14" s="2"/>
      <c r="H14" s="2"/>
      <c r="I14" s="2"/>
      <c r="J14" s="2"/>
      <c r="K14" s="2" t="s">
        <v>350</v>
      </c>
    </row>
    <row r="15" spans="1:11" ht="15" customHeight="1" x14ac:dyDescent="0.3">
      <c r="A15" s="24" t="s">
        <v>335</v>
      </c>
      <c r="B15" s="25">
        <v>25000</v>
      </c>
      <c r="C15" s="28" t="s">
        <v>351</v>
      </c>
      <c r="D15" s="28" t="s">
        <v>113</v>
      </c>
      <c r="E15" s="10"/>
      <c r="F15" s="10"/>
      <c r="G15" s="10"/>
      <c r="H15" s="10"/>
      <c r="I15" s="10"/>
      <c r="J15" s="10"/>
      <c r="K15" s="21" t="s">
        <v>352</v>
      </c>
    </row>
    <row r="16" spans="1:11" ht="15" customHeight="1" x14ac:dyDescent="0.3">
      <c r="A16" s="23"/>
      <c r="B16" s="27"/>
      <c r="C16" s="23"/>
      <c r="D16" s="23"/>
      <c r="E16" s="10"/>
      <c r="F16" s="10"/>
      <c r="G16" s="10"/>
      <c r="H16" s="10"/>
      <c r="I16" s="10"/>
      <c r="J16" s="10"/>
      <c r="K16" s="23"/>
    </row>
    <row r="17" spans="1:11" ht="15" customHeight="1" x14ac:dyDescent="0.3">
      <c r="A17" s="23"/>
      <c r="B17" s="27"/>
      <c r="C17" s="23"/>
      <c r="D17" s="23"/>
      <c r="E17" s="10"/>
      <c r="F17" s="10"/>
      <c r="G17" s="10"/>
      <c r="H17" s="10"/>
      <c r="I17" s="10"/>
      <c r="J17" s="10"/>
      <c r="K17" s="23"/>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57" t="s">
        <v>353</v>
      </c>
      <c r="B1" s="54"/>
      <c r="C1" s="54"/>
      <c r="D1" s="54"/>
      <c r="E1" s="54"/>
      <c r="F1" s="54"/>
      <c r="G1" s="54"/>
      <c r="H1" s="54"/>
      <c r="I1" s="54"/>
      <c r="J1" s="54"/>
    </row>
    <row r="3" spans="1:10" ht="30" customHeight="1" x14ac:dyDescent="0.3">
      <c r="A3" s="2" t="s">
        <v>354</v>
      </c>
      <c r="B3" s="2" t="s">
        <v>355</v>
      </c>
      <c r="C3" s="2" t="s">
        <v>356</v>
      </c>
      <c r="D3" s="2" t="s">
        <v>357</v>
      </c>
      <c r="E3" s="2" t="s">
        <v>358</v>
      </c>
      <c r="F3" s="2" t="s">
        <v>359</v>
      </c>
      <c r="G3" s="2" t="s">
        <v>360</v>
      </c>
      <c r="H3" s="2" t="s">
        <v>361</v>
      </c>
      <c r="I3" s="2" t="s">
        <v>362</v>
      </c>
      <c r="J3" s="2" t="s">
        <v>363</v>
      </c>
    </row>
    <row r="4" spans="1:10" ht="15" customHeight="1" x14ac:dyDescent="0.3">
      <c r="A4" s="24" t="s">
        <v>331</v>
      </c>
      <c r="B4" s="28" t="s">
        <v>364</v>
      </c>
      <c r="C4" s="25">
        <v>120000</v>
      </c>
      <c r="D4" s="25">
        <v>3867.5</v>
      </c>
      <c r="E4" s="25">
        <v>396</v>
      </c>
      <c r="F4" s="25">
        <v>0</v>
      </c>
      <c r="G4" s="25">
        <v>28000</v>
      </c>
      <c r="H4" s="25">
        <v>6000</v>
      </c>
      <c r="I4" s="28" t="s">
        <v>109</v>
      </c>
      <c r="J4" s="28" t="s">
        <v>365</v>
      </c>
    </row>
    <row r="5" spans="1:10" ht="15" customHeight="1" x14ac:dyDescent="0.3">
      <c r="A5" s="24" t="s">
        <v>366</v>
      </c>
      <c r="B5" s="28" t="s">
        <v>367</v>
      </c>
      <c r="C5" s="25">
        <v>140000</v>
      </c>
      <c r="D5" s="25">
        <v>3867.5</v>
      </c>
      <c r="E5" s="25">
        <v>396</v>
      </c>
      <c r="F5" s="25">
        <v>1049.1199999999999</v>
      </c>
      <c r="G5" s="25">
        <v>30000</v>
      </c>
      <c r="H5" s="25">
        <v>0</v>
      </c>
      <c r="I5" s="28" t="s">
        <v>109</v>
      </c>
      <c r="J5" s="28" t="s">
        <v>365</v>
      </c>
    </row>
    <row r="6" spans="1:10" ht="15" customHeight="1" x14ac:dyDescent="0.3">
      <c r="A6" s="24" t="s">
        <v>368</v>
      </c>
      <c r="B6" s="28" t="s">
        <v>369</v>
      </c>
      <c r="C6" s="25">
        <v>90000</v>
      </c>
      <c r="D6" s="25">
        <v>3867.5</v>
      </c>
      <c r="E6" s="25">
        <v>396</v>
      </c>
      <c r="F6" s="25">
        <v>1049.1199999999999</v>
      </c>
      <c r="G6" s="25">
        <v>17100</v>
      </c>
      <c r="H6" s="25">
        <v>0</v>
      </c>
      <c r="I6" s="28" t="s">
        <v>109</v>
      </c>
      <c r="J6" s="28" t="s">
        <v>365</v>
      </c>
    </row>
    <row r="7" spans="1:10" ht="15" customHeight="1" x14ac:dyDescent="0.3">
      <c r="A7" s="24" t="s">
        <v>370</v>
      </c>
      <c r="B7" s="28" t="s">
        <v>371</v>
      </c>
      <c r="C7" s="25">
        <v>70000</v>
      </c>
      <c r="D7" s="25">
        <v>3867.5</v>
      </c>
      <c r="E7" s="25">
        <v>0</v>
      </c>
      <c r="F7" s="25">
        <v>1049.1199999999999</v>
      </c>
      <c r="G7" s="25">
        <v>11900</v>
      </c>
      <c r="H7" s="25">
        <v>0</v>
      </c>
      <c r="I7" s="28" t="s">
        <v>109</v>
      </c>
      <c r="J7" s="28" t="s">
        <v>365</v>
      </c>
    </row>
    <row r="8" spans="1:10" ht="15" customHeight="1" x14ac:dyDescent="0.3">
      <c r="A8" s="24" t="s">
        <v>372</v>
      </c>
      <c r="B8" s="28" t="s">
        <v>373</v>
      </c>
      <c r="C8" s="25">
        <v>95000</v>
      </c>
      <c r="D8" s="25">
        <v>3867.5</v>
      </c>
      <c r="E8" s="25">
        <v>396</v>
      </c>
      <c r="F8" s="25">
        <v>1049.1199999999999</v>
      </c>
      <c r="G8" s="25">
        <v>18500</v>
      </c>
      <c r="H8" s="25">
        <v>0</v>
      </c>
      <c r="I8" s="28" t="s">
        <v>374</v>
      </c>
      <c r="J8" s="28" t="s">
        <v>365</v>
      </c>
    </row>
    <row r="9" spans="1:10" ht="15" customHeight="1" x14ac:dyDescent="0.3">
      <c r="A9" s="24" t="s">
        <v>375</v>
      </c>
      <c r="B9" s="28" t="s">
        <v>373</v>
      </c>
      <c r="C9" s="25">
        <v>85000</v>
      </c>
      <c r="D9" s="25">
        <v>3867.5</v>
      </c>
      <c r="E9" s="25">
        <v>396</v>
      </c>
      <c r="F9" s="25">
        <v>1049.1199999999999</v>
      </c>
      <c r="G9" s="25">
        <v>15700</v>
      </c>
      <c r="H9" s="25">
        <v>0</v>
      </c>
      <c r="I9" s="28" t="s">
        <v>374</v>
      </c>
      <c r="J9" s="28" t="s">
        <v>365</v>
      </c>
    </row>
    <row r="10" spans="1:10" ht="15" customHeight="1" x14ac:dyDescent="0.3">
      <c r="A10" s="23"/>
      <c r="B10" s="23"/>
      <c r="C10" s="27"/>
      <c r="D10" s="27"/>
      <c r="E10" s="27"/>
      <c r="F10" s="27"/>
      <c r="G10" s="27"/>
      <c r="H10" s="27"/>
      <c r="I10" s="23"/>
      <c r="J10" s="23"/>
    </row>
    <row r="11" spans="1:10" ht="15" customHeight="1" x14ac:dyDescent="0.3">
      <c r="A11" s="23"/>
      <c r="B11" s="23"/>
      <c r="C11" s="27"/>
      <c r="D11" s="27"/>
      <c r="E11" s="27"/>
      <c r="F11" s="27"/>
      <c r="G11" s="27"/>
      <c r="H11" s="27"/>
      <c r="I11" s="23"/>
      <c r="J11" s="23"/>
    </row>
    <row r="12" spans="1:10" ht="15" customHeight="1" x14ac:dyDescent="0.3">
      <c r="A12" s="23"/>
      <c r="B12" s="23"/>
      <c r="C12" s="27"/>
      <c r="D12" s="27"/>
      <c r="E12" s="27"/>
      <c r="F12" s="27"/>
      <c r="G12" s="27"/>
      <c r="H12" s="27"/>
      <c r="I12" s="23"/>
      <c r="J12" s="23"/>
    </row>
    <row r="13" spans="1:10" ht="15" customHeight="1" x14ac:dyDescent="0.3">
      <c r="A13" s="16" t="s">
        <v>148</v>
      </c>
      <c r="B13" s="10"/>
      <c r="C13" s="15">
        <f t="shared" ref="C13:H13" si="0">SUM(C4:C12)</f>
        <v>600000</v>
      </c>
      <c r="D13" s="15">
        <f t="shared" si="0"/>
        <v>23205</v>
      </c>
      <c r="E13" s="15">
        <f t="shared" si="0"/>
        <v>1980</v>
      </c>
      <c r="F13" s="15">
        <f t="shared" si="0"/>
        <v>5245.5999999999995</v>
      </c>
      <c r="G13" s="15">
        <f t="shared" si="0"/>
        <v>121200</v>
      </c>
      <c r="H13" s="15">
        <f t="shared" si="0"/>
        <v>6000</v>
      </c>
      <c r="I13" s="10"/>
      <c r="J13" s="10"/>
    </row>
    <row r="15" spans="1:10" ht="18" customHeight="1" x14ac:dyDescent="0.3">
      <c r="A15" s="53" t="s">
        <v>376</v>
      </c>
      <c r="B15" s="54"/>
      <c r="C15" s="54"/>
      <c r="D15" s="54"/>
      <c r="E15" s="54"/>
      <c r="F15" s="54"/>
      <c r="G15" s="54"/>
      <c r="H15" s="54"/>
      <c r="I15" s="54"/>
      <c r="J15" s="54"/>
    </row>
    <row r="16" spans="1:10" ht="15" customHeight="1" x14ac:dyDescent="0.3">
      <c r="A16" s="55" t="s">
        <v>377</v>
      </c>
      <c r="B16" s="54"/>
      <c r="C16" s="39">
        <f>D13</f>
        <v>23205</v>
      </c>
    </row>
    <row r="17" spans="1:10" ht="15" customHeight="1" x14ac:dyDescent="0.3">
      <c r="A17" s="55" t="s">
        <v>378</v>
      </c>
      <c r="B17" s="54"/>
      <c r="C17" s="39">
        <f>E13</f>
        <v>1980</v>
      </c>
    </row>
    <row r="18" spans="1:10" ht="15" customHeight="1" x14ac:dyDescent="0.3">
      <c r="A18" s="55" t="s">
        <v>379</v>
      </c>
      <c r="B18" s="54"/>
      <c r="C18" s="39">
        <f>F13*1.4</f>
        <v>7343.8399999999983</v>
      </c>
    </row>
    <row r="19" spans="1:10" ht="15" customHeight="1" x14ac:dyDescent="0.3">
      <c r="A19" s="55" t="s">
        <v>380</v>
      </c>
      <c r="B19" s="54"/>
      <c r="C19" s="27">
        <v>600000</v>
      </c>
    </row>
    <row r="20" spans="1:10" ht="15" customHeight="1" x14ac:dyDescent="0.3">
      <c r="A20" s="55" t="s">
        <v>381</v>
      </c>
      <c r="B20" s="54"/>
      <c r="C20" s="40">
        <v>1.1499999999999999</v>
      </c>
      <c r="D20" s="1" t="s">
        <v>382</v>
      </c>
    </row>
    <row r="21" spans="1:10" ht="15" customHeight="1" x14ac:dyDescent="0.3">
      <c r="A21" s="55" t="s">
        <v>383</v>
      </c>
      <c r="B21" s="54"/>
      <c r="C21" s="41">
        <f>C19/100*C20</f>
        <v>6899.9999999999991</v>
      </c>
    </row>
    <row r="23" spans="1:10" ht="15" customHeight="1" x14ac:dyDescent="0.3">
      <c r="A23" s="64" t="s">
        <v>384</v>
      </c>
      <c r="B23" s="54"/>
      <c r="C23" s="54"/>
      <c r="D23" s="54"/>
      <c r="E23" s="54"/>
      <c r="F23" s="54"/>
      <c r="G23" s="54"/>
      <c r="H23" s="54"/>
      <c r="I23" s="54"/>
      <c r="J23" s="54"/>
    </row>
    <row r="24" spans="1:10" ht="15" customHeight="1" x14ac:dyDescent="0.3">
      <c r="A24" s="54"/>
      <c r="B24" s="54"/>
      <c r="C24" s="54"/>
      <c r="D24" s="54"/>
      <c r="E24" s="54"/>
      <c r="F24" s="54"/>
      <c r="G24" s="54"/>
      <c r="H24" s="54"/>
      <c r="I24" s="54"/>
      <c r="J24" s="54"/>
    </row>
    <row r="25" spans="1:10" ht="15" customHeight="1" x14ac:dyDescent="0.3">
      <c r="A25" s="54"/>
      <c r="B25" s="54"/>
      <c r="C25" s="54"/>
      <c r="D25" s="54"/>
      <c r="E25" s="54"/>
      <c r="F25" s="54"/>
      <c r="G25" s="54"/>
      <c r="H25" s="54"/>
      <c r="I25" s="54"/>
      <c r="J25" s="54"/>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7" t="s">
        <v>385</v>
      </c>
      <c r="B1" s="54"/>
      <c r="C1" s="54"/>
      <c r="D1" s="54"/>
    </row>
    <row r="3" spans="1:4" ht="18" customHeight="1" x14ac:dyDescent="0.3">
      <c r="A3" s="53" t="s">
        <v>386</v>
      </c>
      <c r="B3" s="54"/>
      <c r="C3" s="54"/>
      <c r="D3" s="54"/>
    </row>
    <row r="4" spans="1:4" ht="15" customHeight="1" x14ac:dyDescent="0.3">
      <c r="A4" s="69" t="s">
        <v>387</v>
      </c>
      <c r="B4" s="61"/>
      <c r="C4" s="23" t="s">
        <v>113</v>
      </c>
    </row>
    <row r="5" spans="1:4" ht="15" customHeight="1" x14ac:dyDescent="0.3">
      <c r="A5" s="69" t="s">
        <v>388</v>
      </c>
      <c r="B5" s="61"/>
      <c r="C5" s="23" t="s">
        <v>104</v>
      </c>
    </row>
    <row r="6" spans="1:4" ht="15" customHeight="1" x14ac:dyDescent="0.3">
      <c r="A6" s="69" t="s">
        <v>389</v>
      </c>
      <c r="B6" s="61"/>
      <c r="C6" s="23" t="s">
        <v>390</v>
      </c>
    </row>
    <row r="7" spans="1:4" ht="15" customHeight="1" x14ac:dyDescent="0.3">
      <c r="A7" s="69" t="s">
        <v>391</v>
      </c>
      <c r="B7" s="61"/>
      <c r="C7" s="23" t="s">
        <v>122</v>
      </c>
    </row>
    <row r="8" spans="1:4" ht="15" customHeight="1" x14ac:dyDescent="0.3">
      <c r="A8" s="10"/>
      <c r="C8" s="10"/>
    </row>
    <row r="9" spans="1:4" ht="18" customHeight="1" x14ac:dyDescent="0.3">
      <c r="A9" s="63" t="s">
        <v>392</v>
      </c>
      <c r="B9" s="61"/>
      <c r="C9" s="61"/>
      <c r="D9" s="61"/>
    </row>
    <row r="10" spans="1:4" ht="15" customHeight="1" x14ac:dyDescent="0.3">
      <c r="A10" s="69" t="s">
        <v>393</v>
      </c>
      <c r="B10" s="61"/>
      <c r="C10" s="42">
        <f>'3. Income Statement'!B9</f>
        <v>1200000</v>
      </c>
    </row>
    <row r="11" spans="1:4" ht="15" customHeight="1" x14ac:dyDescent="0.3">
      <c r="A11" s="69" t="s">
        <v>394</v>
      </c>
      <c r="B11" s="61"/>
      <c r="C11" s="23" t="s">
        <v>395</v>
      </c>
    </row>
    <row r="12" spans="1:4" ht="15" customHeight="1" x14ac:dyDescent="0.3">
      <c r="A12" s="69" t="s">
        <v>396</v>
      </c>
      <c r="B12" s="61"/>
      <c r="C12" s="23" t="s">
        <v>395</v>
      </c>
    </row>
    <row r="13" spans="1:4" ht="15" customHeight="1" x14ac:dyDescent="0.3">
      <c r="A13" s="10"/>
      <c r="C13" s="10"/>
    </row>
    <row r="14" spans="1:4" ht="18" customHeight="1" x14ac:dyDescent="0.3">
      <c r="A14" s="63" t="s">
        <v>397</v>
      </c>
      <c r="B14" s="61"/>
      <c r="C14" s="61"/>
      <c r="D14" s="61"/>
    </row>
    <row r="15" spans="1:4" ht="15" customHeight="1" x14ac:dyDescent="0.3">
      <c r="A15" s="69" t="s">
        <v>398</v>
      </c>
      <c r="B15" s="61"/>
      <c r="C15" s="43">
        <f>INDEX('Province Rate Reference'!$F$5:$F$17,MATCH('1. Entity Setup'!$C$12,'Province Rate Reference'!$A$5:$A$17,0))</f>
        <v>0.05</v>
      </c>
    </row>
    <row r="16" spans="1:4" ht="15" customHeight="1" x14ac:dyDescent="0.3">
      <c r="A16" s="69" t="s">
        <v>399</v>
      </c>
      <c r="B16" s="61"/>
      <c r="C16" s="44">
        <f>C10*C15</f>
        <v>60000</v>
      </c>
    </row>
    <row r="17" spans="1:4" ht="15" customHeight="1" x14ac:dyDescent="0.3">
      <c r="A17" s="10"/>
      <c r="C17" s="10"/>
    </row>
    <row r="18" spans="1:4" ht="18" customHeight="1" x14ac:dyDescent="0.3">
      <c r="A18" s="63" t="s">
        <v>400</v>
      </c>
      <c r="B18" s="61"/>
      <c r="C18" s="61"/>
      <c r="D18" s="61"/>
    </row>
    <row r="19" spans="1:4" ht="23.25" customHeight="1" x14ac:dyDescent="0.3">
      <c r="A19" s="30" t="s">
        <v>401</v>
      </c>
      <c r="C19" s="25">
        <v>42000</v>
      </c>
    </row>
    <row r="20" spans="1:4" ht="32.25" customHeight="1" x14ac:dyDescent="0.3">
      <c r="A20" s="30" t="s">
        <v>402</v>
      </c>
      <c r="C20" s="25">
        <v>4000</v>
      </c>
      <c r="D20" s="12" t="s">
        <v>403</v>
      </c>
    </row>
    <row r="21" spans="1:4" ht="32.25" customHeight="1" x14ac:dyDescent="0.3">
      <c r="A21" s="30" t="s">
        <v>404</v>
      </c>
      <c r="C21" s="25">
        <v>750</v>
      </c>
      <c r="D21" s="12" t="s">
        <v>405</v>
      </c>
    </row>
    <row r="22" spans="1:4" ht="15" customHeight="1" x14ac:dyDescent="0.3">
      <c r="A22" s="30" t="s">
        <v>406</v>
      </c>
      <c r="C22" s="25">
        <v>1350</v>
      </c>
    </row>
    <row r="23" spans="1:4" ht="15" customHeight="1" x14ac:dyDescent="0.3">
      <c r="A23" s="29"/>
      <c r="C23" s="27"/>
    </row>
    <row r="24" spans="1:4" ht="15" customHeight="1" x14ac:dyDescent="0.3">
      <c r="A24" s="29"/>
      <c r="C24" s="27"/>
    </row>
    <row r="25" spans="1:4" ht="15" customHeight="1" x14ac:dyDescent="0.3">
      <c r="A25" s="16" t="s">
        <v>407</v>
      </c>
      <c r="C25" s="15">
        <f>SUM(C19:C24)</f>
        <v>48100</v>
      </c>
    </row>
    <row r="26" spans="1:4" ht="15" customHeight="1" x14ac:dyDescent="0.3">
      <c r="A26" s="10"/>
      <c r="C26" s="10"/>
    </row>
    <row r="27" spans="1:4" ht="18" customHeight="1" x14ac:dyDescent="0.3">
      <c r="A27" s="63" t="s">
        <v>408</v>
      </c>
      <c r="B27" s="61"/>
      <c r="C27" s="61"/>
      <c r="D27" s="61"/>
    </row>
    <row r="28" spans="1:4" ht="15" customHeight="1" x14ac:dyDescent="0.3">
      <c r="A28" s="17" t="s">
        <v>409</v>
      </c>
      <c r="B28" s="19"/>
      <c r="C28" s="45">
        <f>C16-C25</f>
        <v>11900</v>
      </c>
      <c r="D28" s="19"/>
    </row>
    <row r="29" spans="1:4" ht="15" customHeight="1" x14ac:dyDescent="0.3">
      <c r="A29" s="8" t="s">
        <v>410</v>
      </c>
      <c r="C29" s="8" t="str">
        <f>IF(C28&gt;3000,"Yes - instalments likely required","No")</f>
        <v>Yes - instalments likely required</v>
      </c>
    </row>
  </sheetData>
  <mergeCells count="15">
    <mergeCell ref="A1:D1"/>
    <mergeCell ref="A9:D9"/>
    <mergeCell ref="A16:B16"/>
    <mergeCell ref="A18:D18"/>
    <mergeCell ref="A15:B15"/>
    <mergeCell ref="A7:B7"/>
    <mergeCell ref="A27:D27"/>
    <mergeCell ref="A11:B11"/>
    <mergeCell ref="A3:D3"/>
    <mergeCell ref="A10:B10"/>
    <mergeCell ref="A5:B5"/>
    <mergeCell ref="A6:B6"/>
    <mergeCell ref="A14:D14"/>
    <mergeCell ref="A12:B12"/>
    <mergeCell ref="A4:B4"/>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7" t="s">
        <v>411</v>
      </c>
      <c r="B1" s="54"/>
      <c r="C1" s="54"/>
      <c r="D1" s="54"/>
    </row>
    <row r="3" spans="1:4" ht="18" customHeight="1" x14ac:dyDescent="0.3">
      <c r="A3" s="53" t="s">
        <v>412</v>
      </c>
      <c r="B3" s="54"/>
      <c r="C3" s="54"/>
      <c r="D3" s="54"/>
    </row>
    <row r="4" spans="1:4" ht="21.75" customHeight="1" x14ac:dyDescent="0.3">
      <c r="A4" s="60" t="s">
        <v>413</v>
      </c>
      <c r="B4" s="61"/>
      <c r="C4" s="61"/>
      <c r="D4" s="61"/>
    </row>
    <row r="5" spans="1:4" ht="15" customHeight="1" x14ac:dyDescent="0.3">
      <c r="A5" s="67" t="s">
        <v>414</v>
      </c>
      <c r="B5" s="66"/>
      <c r="C5" s="27">
        <v>28500</v>
      </c>
    </row>
    <row r="6" spans="1:4" ht="15" customHeight="1" x14ac:dyDescent="0.3">
      <c r="A6" s="67" t="s">
        <v>415</v>
      </c>
      <c r="B6" s="66"/>
      <c r="C6" s="27">
        <v>12100</v>
      </c>
    </row>
    <row r="7" spans="1:4" ht="15" customHeight="1" x14ac:dyDescent="0.3">
      <c r="A7" s="67" t="s">
        <v>416</v>
      </c>
      <c r="B7" s="66"/>
      <c r="C7" s="27">
        <v>24000</v>
      </c>
    </row>
    <row r="8" spans="1:4" ht="15" customHeight="1" x14ac:dyDescent="0.3">
      <c r="A8" s="67" t="s">
        <v>417</v>
      </c>
      <c r="B8" s="66"/>
      <c r="C8" s="27">
        <v>10200</v>
      </c>
    </row>
    <row r="9" spans="1:4" ht="15" customHeight="1" x14ac:dyDescent="0.3">
      <c r="A9" s="10"/>
      <c r="B9" s="10"/>
      <c r="C9" s="10"/>
    </row>
    <row r="10" spans="1:4" ht="15" customHeight="1" x14ac:dyDescent="0.3">
      <c r="A10" s="16" t="s">
        <v>418</v>
      </c>
      <c r="B10" s="10"/>
      <c r="C10" s="8" t="str">
        <f>IF(OR((C5+C6)&gt;3000,(C7+C8)&gt;3000),"Likely Yes — confirm vs. current-year Dashboard estimate","No")</f>
        <v>Likely Yes — confirm vs. current-year Dashboard estimate</v>
      </c>
    </row>
    <row r="11" spans="1:4" ht="15" customHeight="1" x14ac:dyDescent="0.3">
      <c r="A11" s="10"/>
      <c r="B11" s="10"/>
      <c r="C11" s="10"/>
    </row>
    <row r="12" spans="1:4" ht="18" customHeight="1" x14ac:dyDescent="0.3">
      <c r="A12" s="63" t="s">
        <v>419</v>
      </c>
      <c r="B12" s="61"/>
      <c r="C12" s="61"/>
      <c r="D12" s="61"/>
    </row>
    <row r="13" spans="1:4" ht="30" customHeight="1" x14ac:dyDescent="0.3">
      <c r="A13" s="2" t="s">
        <v>420</v>
      </c>
      <c r="B13" s="2" t="s">
        <v>152</v>
      </c>
      <c r="C13" s="2" t="s">
        <v>421</v>
      </c>
      <c r="D13" s="2" t="s">
        <v>143</v>
      </c>
    </row>
    <row r="14" spans="1:4" ht="15" customHeight="1" x14ac:dyDescent="0.3">
      <c r="A14" s="24" t="s">
        <v>422</v>
      </c>
      <c r="B14" s="25">
        <v>10125</v>
      </c>
      <c r="C14" s="28" t="s">
        <v>423</v>
      </c>
    </row>
    <row r="15" spans="1:4" ht="15" customHeight="1" x14ac:dyDescent="0.3">
      <c r="A15" s="24" t="s">
        <v>424</v>
      </c>
      <c r="B15" s="25">
        <v>10125</v>
      </c>
      <c r="C15" s="28" t="s">
        <v>423</v>
      </c>
    </row>
    <row r="16" spans="1:4" ht="15" customHeight="1" x14ac:dyDescent="0.3">
      <c r="A16" s="23" t="s">
        <v>425</v>
      </c>
      <c r="B16" s="27">
        <v>10125</v>
      </c>
      <c r="C16" s="23" t="s">
        <v>423</v>
      </c>
      <c r="D16" s="23"/>
    </row>
    <row r="17" spans="1:4" ht="15" customHeight="1" x14ac:dyDescent="0.3">
      <c r="A17" s="23" t="s">
        <v>119</v>
      </c>
      <c r="B17" s="27">
        <v>10125</v>
      </c>
      <c r="C17" s="23" t="s">
        <v>423</v>
      </c>
      <c r="D17" s="23"/>
    </row>
    <row r="18" spans="1:4" ht="15" customHeight="1" x14ac:dyDescent="0.3">
      <c r="A18" s="23"/>
      <c r="B18" s="27"/>
      <c r="C18" s="23"/>
      <c r="D18" s="23"/>
    </row>
    <row r="19" spans="1:4" ht="15" customHeight="1" x14ac:dyDescent="0.3">
      <c r="A19" s="23"/>
      <c r="B19" s="27"/>
      <c r="C19" s="23"/>
      <c r="D19" s="23"/>
    </row>
    <row r="20" spans="1:4" ht="15" customHeight="1" x14ac:dyDescent="0.3">
      <c r="A20" s="16" t="s">
        <v>426</v>
      </c>
      <c r="B20" s="15">
        <f>SUM(B14:B19)</f>
        <v>40500</v>
      </c>
      <c r="C20" s="10"/>
    </row>
    <row r="21" spans="1:4" ht="15" customHeight="1" x14ac:dyDescent="0.3">
      <c r="A21" s="10"/>
      <c r="B21" s="10"/>
      <c r="C21" s="10"/>
    </row>
    <row r="22" spans="1:4" ht="18" customHeight="1" x14ac:dyDescent="0.3">
      <c r="A22" s="63" t="s">
        <v>427</v>
      </c>
      <c r="B22" s="61"/>
      <c r="C22" s="61"/>
      <c r="D22" s="61"/>
    </row>
    <row r="23" spans="1:4" ht="15" customHeight="1" x14ac:dyDescent="0.3">
      <c r="A23" s="67" t="s">
        <v>428</v>
      </c>
      <c r="B23" s="66"/>
      <c r="C23" s="23" t="s">
        <v>395</v>
      </c>
    </row>
    <row r="24" spans="1:4" ht="15" customHeight="1" x14ac:dyDescent="0.3">
      <c r="A24" s="67" t="s">
        <v>429</v>
      </c>
      <c r="B24" s="66"/>
      <c r="C24" s="23" t="s">
        <v>395</v>
      </c>
    </row>
    <row r="25" spans="1:4" ht="15" customHeight="1" x14ac:dyDescent="0.3">
      <c r="A25" s="67" t="s">
        <v>430</v>
      </c>
      <c r="B25" s="66"/>
      <c r="C25" s="23" t="s">
        <v>395</v>
      </c>
    </row>
    <row r="26" spans="1:4" ht="15" customHeight="1" x14ac:dyDescent="0.3">
      <c r="A26" s="67" t="s">
        <v>431</v>
      </c>
      <c r="B26" s="66"/>
      <c r="C26" s="23" t="s">
        <v>113</v>
      </c>
      <c r="D26" s="1" t="s">
        <v>432</v>
      </c>
    </row>
    <row r="27" spans="1:4" ht="15" customHeight="1" x14ac:dyDescent="0.3">
      <c r="A27" s="67" t="s">
        <v>433</v>
      </c>
      <c r="B27" s="66"/>
      <c r="C27" s="23"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57" t="s">
        <v>434</v>
      </c>
      <c r="B1" s="54"/>
      <c r="C1" s="54"/>
      <c r="D1" s="54"/>
    </row>
    <row r="3" spans="1:4" ht="18" customHeight="1" x14ac:dyDescent="0.3">
      <c r="A3" s="53" t="s">
        <v>435</v>
      </c>
      <c r="B3" s="54"/>
      <c r="C3" s="54"/>
      <c r="D3" s="54"/>
    </row>
    <row r="4" spans="1:4" ht="15" customHeight="1" x14ac:dyDescent="0.3">
      <c r="A4" s="67" t="s">
        <v>436</v>
      </c>
      <c r="B4" s="66"/>
      <c r="C4" s="27">
        <v>65000</v>
      </c>
    </row>
    <row r="5" spans="1:4" ht="15" customHeight="1" x14ac:dyDescent="0.3">
      <c r="A5" s="67" t="s">
        <v>437</v>
      </c>
      <c r="B5" s="66"/>
      <c r="C5" s="46">
        <v>3000000</v>
      </c>
    </row>
    <row r="6" spans="1:4" ht="53.25" customHeight="1" x14ac:dyDescent="0.3">
      <c r="A6" s="36" t="s">
        <v>438</v>
      </c>
      <c r="B6" s="10"/>
      <c r="C6" s="10"/>
    </row>
    <row r="7" spans="1:4" ht="15" customHeight="1" x14ac:dyDescent="0.3">
      <c r="A7" s="67" t="s">
        <v>439</v>
      </c>
      <c r="B7" s="66"/>
      <c r="C7" s="27">
        <v>240000</v>
      </c>
    </row>
    <row r="8" spans="1:4" ht="15" customHeight="1" x14ac:dyDescent="0.3">
      <c r="A8" s="67" t="s">
        <v>440</v>
      </c>
      <c r="B8" s="66"/>
      <c r="C8" s="23" t="s">
        <v>113</v>
      </c>
    </row>
    <row r="9" spans="1:4" ht="15" customHeight="1" x14ac:dyDescent="0.3">
      <c r="A9" s="16" t="s">
        <v>441</v>
      </c>
      <c r="B9" s="10"/>
      <c r="C9" s="15">
        <f>C4*IF(C8="Yes",0.35,0.15)</f>
        <v>22750</v>
      </c>
    </row>
    <row r="10" spans="1:4" ht="15" customHeight="1" x14ac:dyDescent="0.3">
      <c r="A10" s="16" t="s">
        <v>540</v>
      </c>
      <c r="B10" s="10"/>
      <c r="C10" s="15">
        <f>IF(C8="Yes",C9,0)</f>
        <v>22750</v>
      </c>
      <c r="D10" t="s">
        <v>541</v>
      </c>
    </row>
    <row r="11" spans="1:4" ht="18" customHeight="1" x14ac:dyDescent="0.3">
      <c r="A11" s="63" t="s">
        <v>442</v>
      </c>
      <c r="B11" s="61"/>
      <c r="C11" s="61"/>
      <c r="D11" s="61"/>
    </row>
    <row r="12" spans="1:4" ht="21.75" customHeight="1" x14ac:dyDescent="0.3">
      <c r="A12" s="60" t="s">
        <v>443</v>
      </c>
      <c r="B12" s="61"/>
      <c r="C12" s="61"/>
      <c r="D12" s="61"/>
    </row>
    <row r="13" spans="1:4" ht="15" customHeight="1" x14ac:dyDescent="0.3">
      <c r="A13" s="67" t="s">
        <v>444</v>
      </c>
      <c r="B13" s="66"/>
      <c r="C13" s="23" t="s">
        <v>445</v>
      </c>
    </row>
    <row r="14" spans="1:4" ht="15" customHeight="1" x14ac:dyDescent="0.3">
      <c r="A14" s="67" t="s">
        <v>446</v>
      </c>
      <c r="B14" s="66"/>
      <c r="C14" s="27">
        <v>9750</v>
      </c>
    </row>
    <row r="15" spans="1:4" ht="15" customHeight="1" x14ac:dyDescent="0.3">
      <c r="A15" s="67" t="s">
        <v>542</v>
      </c>
      <c r="B15" s="66"/>
      <c r="C15" s="27">
        <v>9750</v>
      </c>
      <c r="D15" t="s">
        <v>543</v>
      </c>
    </row>
    <row r="16" spans="1:4" ht="18" customHeight="1" x14ac:dyDescent="0.3">
      <c r="A16" s="63" t="s">
        <v>447</v>
      </c>
      <c r="B16" s="61"/>
      <c r="C16" s="61"/>
      <c r="D16" s="61"/>
    </row>
    <row r="17" spans="1:4" ht="30" customHeight="1" x14ac:dyDescent="0.3">
      <c r="A17" s="2" t="s">
        <v>448</v>
      </c>
      <c r="B17" s="2" t="s">
        <v>449</v>
      </c>
      <c r="C17" s="2" t="s">
        <v>450</v>
      </c>
      <c r="D17" s="2" t="s">
        <v>143</v>
      </c>
    </row>
    <row r="18" spans="1:4" ht="42.75" customHeight="1" x14ac:dyDescent="0.3">
      <c r="A18" s="24">
        <v>2025</v>
      </c>
      <c r="B18" s="25">
        <v>8000</v>
      </c>
      <c r="C18" s="8">
        <f>A18+5</f>
        <v>2030</v>
      </c>
      <c r="D18" s="12" t="s">
        <v>451</v>
      </c>
    </row>
    <row r="19" spans="1:4" ht="15" customHeight="1" x14ac:dyDescent="0.3">
      <c r="A19" s="23"/>
      <c r="B19" s="27"/>
      <c r="C19" s="8">
        <f>IF(A19=0,0,A19+5)</f>
        <v>0</v>
      </c>
    </row>
  </sheetData>
  <mergeCells count="12">
    <mergeCell ref="A4:B4"/>
    <mergeCell ref="A1:D1"/>
    <mergeCell ref="A7:B7"/>
    <mergeCell ref="A12:D12"/>
    <mergeCell ref="A3:D3"/>
    <mergeCell ref="A5:B5"/>
    <mergeCell ref="A13:B13"/>
    <mergeCell ref="A14:B14"/>
    <mergeCell ref="A16:D16"/>
    <mergeCell ref="A11:D11"/>
    <mergeCell ref="A8:B8"/>
    <mergeCell ref="A15:B1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57" t="s">
        <v>452</v>
      </c>
      <c r="B1" s="54"/>
      <c r="C1" s="54"/>
      <c r="D1" s="54"/>
      <c r="E1" s="54"/>
      <c r="F1" s="54"/>
      <c r="G1" s="54"/>
      <c r="H1" s="54"/>
    </row>
    <row r="3" spans="1:8" ht="18" customHeight="1" x14ac:dyDescent="0.3">
      <c r="A3" s="53" t="s">
        <v>453</v>
      </c>
      <c r="B3" s="54"/>
      <c r="C3" s="54"/>
      <c r="D3" s="54"/>
      <c r="E3" s="54"/>
      <c r="F3" s="54"/>
      <c r="G3" s="54"/>
      <c r="H3" s="54"/>
    </row>
    <row r="4" spans="1:8" ht="30" customHeight="1" x14ac:dyDescent="0.3">
      <c r="A4" s="2" t="s">
        <v>454</v>
      </c>
      <c r="B4" s="2" t="s">
        <v>455</v>
      </c>
      <c r="C4" s="2" t="s">
        <v>456</v>
      </c>
      <c r="D4" s="2" t="s">
        <v>457</v>
      </c>
      <c r="E4" s="2" t="s">
        <v>458</v>
      </c>
      <c r="F4" s="2" t="s">
        <v>459</v>
      </c>
      <c r="G4" s="2" t="s">
        <v>460</v>
      </c>
      <c r="H4" s="2" t="s">
        <v>143</v>
      </c>
    </row>
    <row r="5" spans="1:8" ht="45.75" customHeight="1" x14ac:dyDescent="0.3">
      <c r="A5" s="24" t="s">
        <v>98</v>
      </c>
      <c r="B5" s="28" t="s">
        <v>331</v>
      </c>
      <c r="C5" s="25">
        <v>1000000</v>
      </c>
      <c r="D5" s="25">
        <v>35000</v>
      </c>
      <c r="E5" s="25">
        <v>18000</v>
      </c>
      <c r="F5" s="25">
        <v>6200</v>
      </c>
      <c r="G5" s="28" t="s">
        <v>461</v>
      </c>
      <c r="H5" s="30" t="s">
        <v>462</v>
      </c>
    </row>
    <row r="6" spans="1:8" ht="15" customHeight="1" x14ac:dyDescent="0.3">
      <c r="A6" s="23"/>
      <c r="B6" s="23"/>
      <c r="C6" s="27"/>
      <c r="D6" s="27"/>
      <c r="E6" s="27"/>
      <c r="F6" s="27"/>
      <c r="G6" s="23"/>
      <c r="H6" s="23"/>
    </row>
    <row r="7" spans="1:8" ht="15" customHeight="1" x14ac:dyDescent="0.3">
      <c r="A7" s="23"/>
      <c r="B7" s="23"/>
      <c r="C7" s="27"/>
      <c r="D7" s="27"/>
      <c r="E7" s="27"/>
      <c r="F7" s="27"/>
      <c r="G7" s="23"/>
      <c r="H7" s="23"/>
    </row>
    <row r="8" spans="1:8" ht="15" customHeight="1" x14ac:dyDescent="0.3">
      <c r="A8" s="10"/>
      <c r="B8" s="10"/>
      <c r="C8" s="10"/>
      <c r="D8" s="10"/>
      <c r="E8" s="10"/>
      <c r="F8" s="10"/>
      <c r="G8" s="10"/>
      <c r="H8" s="10"/>
    </row>
    <row r="9" spans="1:8" ht="18" customHeight="1" x14ac:dyDescent="0.3">
      <c r="A9" s="68" t="s">
        <v>463</v>
      </c>
      <c r="B9" s="61"/>
      <c r="C9" s="61"/>
      <c r="D9" s="61"/>
      <c r="E9" s="61"/>
      <c r="F9" s="61"/>
      <c r="G9" s="61"/>
      <c r="H9" s="66"/>
    </row>
    <row r="10" spans="1:8" ht="30" customHeight="1" x14ac:dyDescent="0.3">
      <c r="A10" s="2" t="s">
        <v>464</v>
      </c>
      <c r="B10" s="2" t="s">
        <v>465</v>
      </c>
      <c r="C10" s="2" t="s">
        <v>152</v>
      </c>
      <c r="D10" s="2" t="s">
        <v>466</v>
      </c>
      <c r="E10" s="2"/>
      <c r="F10" s="2"/>
      <c r="G10" s="2"/>
      <c r="H10" s="2" t="s">
        <v>143</v>
      </c>
    </row>
    <row r="11" spans="1:8" ht="15" customHeight="1" x14ac:dyDescent="0.3">
      <c r="A11" s="23" t="s">
        <v>467</v>
      </c>
      <c r="B11" s="23" t="s">
        <v>468</v>
      </c>
      <c r="C11" s="27">
        <v>0</v>
      </c>
      <c r="D11" s="27">
        <v>0</v>
      </c>
      <c r="E11" s="10"/>
      <c r="F11" s="10"/>
      <c r="G11" s="10"/>
      <c r="H11" s="78" t="s">
        <v>469</v>
      </c>
    </row>
    <row r="12" spans="1:8" ht="15" customHeight="1" x14ac:dyDescent="0.3">
      <c r="A12" s="23"/>
      <c r="B12" s="23"/>
      <c r="C12" s="27"/>
      <c r="D12" s="27"/>
      <c r="E12" s="10"/>
      <c r="F12" s="10"/>
      <c r="G12" s="10"/>
      <c r="H12" s="79"/>
    </row>
    <row r="13" spans="1:8" ht="15" customHeight="1" x14ac:dyDescent="0.3">
      <c r="A13" s="10"/>
      <c r="B13" s="10"/>
      <c r="C13" s="10"/>
      <c r="D13" s="10"/>
      <c r="E13" s="10"/>
      <c r="F13" s="10"/>
      <c r="G13" s="10"/>
      <c r="H13" s="80"/>
    </row>
    <row r="14" spans="1:8" ht="18" customHeight="1" x14ac:dyDescent="0.3">
      <c r="A14" s="68" t="s">
        <v>470</v>
      </c>
      <c r="B14" s="61"/>
      <c r="C14" s="61"/>
      <c r="D14" s="61"/>
      <c r="E14" s="61"/>
      <c r="F14" s="61"/>
      <c r="G14" s="61"/>
      <c r="H14" s="66"/>
    </row>
    <row r="15" spans="1:8" ht="15" customHeight="1" x14ac:dyDescent="0.3">
      <c r="A15" s="78" t="s">
        <v>471</v>
      </c>
      <c r="B15" s="61"/>
      <c r="C15" s="61"/>
      <c r="D15" s="61"/>
      <c r="E15" s="61"/>
      <c r="F15" s="61"/>
      <c r="G15" s="61"/>
      <c r="H15" s="66"/>
    </row>
    <row r="16" spans="1:8" ht="15" customHeight="1" x14ac:dyDescent="0.3">
      <c r="A16" s="70" t="s">
        <v>472</v>
      </c>
      <c r="B16" s="71"/>
      <c r="C16" s="71"/>
      <c r="D16" s="71"/>
      <c r="E16" s="71"/>
      <c r="F16" s="71"/>
      <c r="G16" s="71"/>
      <c r="H16" s="72"/>
    </row>
    <row r="17" spans="1:8" ht="15" customHeight="1" x14ac:dyDescent="0.3">
      <c r="A17" s="73"/>
      <c r="B17" s="54"/>
      <c r="C17" s="54"/>
      <c r="D17" s="54"/>
      <c r="E17" s="54"/>
      <c r="F17" s="54"/>
      <c r="G17" s="54"/>
      <c r="H17" s="74"/>
    </row>
    <row r="18" spans="1:8" ht="15" customHeight="1" x14ac:dyDescent="0.3">
      <c r="A18" s="75"/>
      <c r="B18" s="76"/>
      <c r="C18" s="76"/>
      <c r="D18" s="76"/>
      <c r="E18" s="76"/>
      <c r="F18" s="76"/>
      <c r="G18" s="76"/>
      <c r="H18" s="77"/>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57" t="s">
        <v>473</v>
      </c>
      <c r="B1" s="54"/>
      <c r="C1" s="54"/>
      <c r="D1" s="54"/>
      <c r="E1" s="54"/>
      <c r="F1" s="54"/>
      <c r="G1" s="54"/>
    </row>
    <row r="2" spans="1:7" ht="24" customHeight="1" x14ac:dyDescent="0.3">
      <c r="A2" s="56" t="s">
        <v>474</v>
      </c>
      <c r="B2" s="54"/>
      <c r="C2" s="54"/>
      <c r="D2" s="54"/>
      <c r="E2" s="54"/>
      <c r="F2" s="54"/>
      <c r="G2" s="54"/>
    </row>
    <row r="4" spans="1:7" ht="30" customHeight="1" x14ac:dyDescent="0.3">
      <c r="A4" s="2" t="s">
        <v>136</v>
      </c>
      <c r="B4" s="2" t="s">
        <v>475</v>
      </c>
      <c r="C4" s="2" t="s">
        <v>476</v>
      </c>
      <c r="D4" s="2" t="s">
        <v>477</v>
      </c>
      <c r="E4" s="2" t="s">
        <v>478</v>
      </c>
      <c r="F4" s="2" t="s">
        <v>479</v>
      </c>
      <c r="G4" s="2" t="s">
        <v>143</v>
      </c>
    </row>
    <row r="5" spans="1:7" ht="21.75" customHeight="1" x14ac:dyDescent="0.3">
      <c r="A5" s="47" t="s">
        <v>109</v>
      </c>
      <c r="B5" s="48">
        <v>0.23</v>
      </c>
      <c r="C5" s="48">
        <v>0.11</v>
      </c>
      <c r="D5" s="49">
        <v>500000</v>
      </c>
      <c r="E5" s="47" t="s">
        <v>480</v>
      </c>
      <c r="F5" s="50">
        <v>0.05</v>
      </c>
      <c r="G5" s="36" t="s">
        <v>481</v>
      </c>
    </row>
    <row r="6" spans="1:7" ht="21.75" customHeight="1" x14ac:dyDescent="0.3">
      <c r="A6" s="47" t="s">
        <v>482</v>
      </c>
      <c r="B6" s="48">
        <v>0.27</v>
      </c>
      <c r="C6" s="48">
        <v>0.11</v>
      </c>
      <c r="D6" s="49">
        <v>500000</v>
      </c>
      <c r="E6" s="47" t="s">
        <v>483</v>
      </c>
      <c r="F6" s="50">
        <v>0.05</v>
      </c>
      <c r="G6" s="36" t="s">
        <v>484</v>
      </c>
    </row>
    <row r="7" spans="1:7" ht="15" customHeight="1" x14ac:dyDescent="0.3">
      <c r="A7" s="47" t="s">
        <v>485</v>
      </c>
      <c r="B7" s="48">
        <v>0.27</v>
      </c>
      <c r="C7" s="48">
        <v>0.1</v>
      </c>
      <c r="D7" s="49">
        <v>500000</v>
      </c>
      <c r="E7" s="47" t="s">
        <v>486</v>
      </c>
      <c r="F7" s="50">
        <v>0.05</v>
      </c>
      <c r="G7" s="36" t="s">
        <v>487</v>
      </c>
    </row>
    <row r="8" spans="1:7" ht="21.75" customHeight="1" x14ac:dyDescent="0.3">
      <c r="A8" s="47" t="s">
        <v>488</v>
      </c>
      <c r="B8" s="48">
        <v>0.27</v>
      </c>
      <c r="C8" s="48">
        <v>0.09</v>
      </c>
      <c r="D8" s="49">
        <v>500000</v>
      </c>
      <c r="E8" s="47" t="s">
        <v>489</v>
      </c>
      <c r="F8" s="50">
        <v>0.05</v>
      </c>
      <c r="G8" s="36" t="s">
        <v>490</v>
      </c>
    </row>
    <row r="9" spans="1:7" ht="21.75" customHeight="1" x14ac:dyDescent="0.3">
      <c r="A9" s="47" t="s">
        <v>374</v>
      </c>
      <c r="B9" s="48">
        <v>0.26500000000000001</v>
      </c>
      <c r="C9" s="48">
        <v>0.122</v>
      </c>
      <c r="D9" s="49">
        <v>500000</v>
      </c>
      <c r="E9" s="47" t="s">
        <v>491</v>
      </c>
      <c r="F9" s="50">
        <v>0.13</v>
      </c>
      <c r="G9" s="36" t="s">
        <v>492</v>
      </c>
    </row>
    <row r="10" spans="1:7" ht="21.75" customHeight="1" x14ac:dyDescent="0.3">
      <c r="A10" s="47" t="s">
        <v>493</v>
      </c>
      <c r="B10" s="48">
        <v>0.26500000000000001</v>
      </c>
      <c r="C10" s="48">
        <v>0.122</v>
      </c>
      <c r="D10" s="49">
        <v>500000</v>
      </c>
      <c r="E10" s="47" t="s">
        <v>494</v>
      </c>
      <c r="F10" s="50">
        <v>0.14974999999999999</v>
      </c>
      <c r="G10" s="36" t="s">
        <v>495</v>
      </c>
    </row>
    <row r="11" spans="1:7" ht="15" customHeight="1" x14ac:dyDescent="0.3">
      <c r="A11" s="47" t="s">
        <v>496</v>
      </c>
      <c r="B11" s="48">
        <v>0.28999999999999998</v>
      </c>
      <c r="C11" s="48">
        <v>0.115</v>
      </c>
      <c r="D11" s="49">
        <v>500000</v>
      </c>
      <c r="E11" s="47" t="s">
        <v>491</v>
      </c>
      <c r="F11" s="50">
        <v>0.15</v>
      </c>
      <c r="G11" s="36"/>
    </row>
    <row r="12" spans="1:7" ht="21.75" customHeight="1" x14ac:dyDescent="0.3">
      <c r="A12" s="47" t="s">
        <v>497</v>
      </c>
      <c r="B12" s="48">
        <v>0.28999999999999998</v>
      </c>
      <c r="C12" s="48">
        <v>0.115</v>
      </c>
      <c r="D12" s="49">
        <v>500000</v>
      </c>
      <c r="E12" s="47" t="s">
        <v>491</v>
      </c>
      <c r="F12" s="50">
        <v>0.14000000000000001</v>
      </c>
      <c r="G12" s="36" t="s">
        <v>498</v>
      </c>
    </row>
    <row r="13" spans="1:7" ht="21.75" customHeight="1" x14ac:dyDescent="0.3">
      <c r="A13" s="47" t="s">
        <v>499</v>
      </c>
      <c r="B13" s="48">
        <v>0.31</v>
      </c>
      <c r="C13" s="48">
        <v>0.1</v>
      </c>
      <c r="D13" s="49">
        <v>500000</v>
      </c>
      <c r="E13" s="47" t="s">
        <v>491</v>
      </c>
      <c r="F13" s="50">
        <v>0.15</v>
      </c>
      <c r="G13" s="36" t="s">
        <v>500</v>
      </c>
    </row>
    <row r="14" spans="1:7" ht="21.75" customHeight="1" x14ac:dyDescent="0.3">
      <c r="A14" s="47" t="s">
        <v>501</v>
      </c>
      <c r="B14" s="48">
        <v>0.3</v>
      </c>
      <c r="C14" s="48">
        <v>0.115</v>
      </c>
      <c r="D14" s="49">
        <v>500000</v>
      </c>
      <c r="E14" s="47" t="s">
        <v>491</v>
      </c>
      <c r="F14" s="50">
        <v>0.15</v>
      </c>
      <c r="G14" s="36" t="s">
        <v>500</v>
      </c>
    </row>
    <row r="15" spans="1:7" ht="15" customHeight="1" x14ac:dyDescent="0.3">
      <c r="A15" s="47" t="s">
        <v>502</v>
      </c>
      <c r="B15" s="48">
        <v>0.27</v>
      </c>
      <c r="C15" s="48">
        <v>0.09</v>
      </c>
      <c r="D15" s="49">
        <v>500000</v>
      </c>
      <c r="E15" s="47" t="s">
        <v>480</v>
      </c>
      <c r="F15" s="50">
        <v>0.05</v>
      </c>
      <c r="G15" s="36" t="s">
        <v>503</v>
      </c>
    </row>
    <row r="16" spans="1:7" ht="15" customHeight="1" x14ac:dyDescent="0.3">
      <c r="A16" s="47" t="s">
        <v>504</v>
      </c>
      <c r="B16" s="48">
        <v>0.26500000000000001</v>
      </c>
      <c r="C16" s="48">
        <v>0.11</v>
      </c>
      <c r="D16" s="49">
        <v>500000</v>
      </c>
      <c r="E16" s="47" t="s">
        <v>480</v>
      </c>
      <c r="F16" s="50">
        <v>0.05</v>
      </c>
      <c r="G16" s="36"/>
    </row>
    <row r="17" spans="1:7" ht="15" customHeight="1" x14ac:dyDescent="0.3">
      <c r="A17" s="47" t="s">
        <v>505</v>
      </c>
      <c r="B17" s="48">
        <v>0.27</v>
      </c>
      <c r="C17" s="48">
        <v>0.12</v>
      </c>
      <c r="D17" s="49">
        <v>500000</v>
      </c>
      <c r="E17" s="47" t="s">
        <v>480</v>
      </c>
      <c r="F17" s="50">
        <v>0.05</v>
      </c>
      <c r="G17" s="36"/>
    </row>
    <row r="19" spans="1:7" ht="21.75" customHeight="1" x14ac:dyDescent="0.3">
      <c r="A19" s="64" t="s">
        <v>506</v>
      </c>
      <c r="B19" s="54"/>
      <c r="C19" s="54"/>
      <c r="D19" s="54"/>
      <c r="E19" s="54"/>
      <c r="F19" s="54"/>
      <c r="G19" s="54"/>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1" t="s">
        <v>136</v>
      </c>
      <c r="B1" s="51" t="s">
        <v>507</v>
      </c>
      <c r="C1" s="51" t="s">
        <v>285</v>
      </c>
      <c r="D1" s="51" t="s">
        <v>363</v>
      </c>
      <c r="E1" s="51" t="s">
        <v>508</v>
      </c>
      <c r="F1" s="51" t="s">
        <v>329</v>
      </c>
      <c r="G1" s="51" t="s">
        <v>322</v>
      </c>
      <c r="H1" s="51" t="s">
        <v>323</v>
      </c>
      <c r="I1" s="51" t="s">
        <v>509</v>
      </c>
      <c r="J1" s="51" t="s">
        <v>510</v>
      </c>
      <c r="K1" s="51" t="s">
        <v>511</v>
      </c>
    </row>
    <row r="2" spans="1:11" ht="15" customHeight="1" x14ac:dyDescent="0.3">
      <c r="A2" s="4" t="s">
        <v>109</v>
      </c>
      <c r="B2" s="4" t="s">
        <v>113</v>
      </c>
      <c r="C2" s="4" t="s">
        <v>294</v>
      </c>
      <c r="D2" s="4" t="s">
        <v>365</v>
      </c>
      <c r="E2" s="4" t="s">
        <v>512</v>
      </c>
      <c r="F2" s="4" t="s">
        <v>333</v>
      </c>
      <c r="G2" s="4" t="s">
        <v>313</v>
      </c>
      <c r="H2" s="4" t="s">
        <v>332</v>
      </c>
      <c r="I2" s="4" t="s">
        <v>513</v>
      </c>
      <c r="J2" s="4" t="s">
        <v>182</v>
      </c>
      <c r="K2" s="4" t="s">
        <v>514</v>
      </c>
    </row>
    <row r="3" spans="1:11" ht="15" customHeight="1" x14ac:dyDescent="0.3">
      <c r="A3" s="4" t="s">
        <v>482</v>
      </c>
      <c r="B3" s="4" t="s">
        <v>122</v>
      </c>
      <c r="C3" s="4" t="s">
        <v>296</v>
      </c>
      <c r="D3" s="4" t="s">
        <v>515</v>
      </c>
      <c r="E3" s="4" t="s">
        <v>390</v>
      </c>
      <c r="F3" s="4" t="s">
        <v>516</v>
      </c>
      <c r="G3" s="4" t="s">
        <v>336</v>
      </c>
      <c r="H3" s="4" t="s">
        <v>337</v>
      </c>
      <c r="I3" s="4" t="s">
        <v>517</v>
      </c>
      <c r="J3" s="4" t="s">
        <v>180</v>
      </c>
      <c r="K3" s="4" t="s">
        <v>518</v>
      </c>
    </row>
    <row r="4" spans="1:11" ht="15" customHeight="1" x14ac:dyDescent="0.3">
      <c r="A4" s="4" t="s">
        <v>485</v>
      </c>
      <c r="B4" s="4" t="s">
        <v>519</v>
      </c>
      <c r="C4" s="4" t="s">
        <v>298</v>
      </c>
      <c r="D4" s="4" t="s">
        <v>520</v>
      </c>
      <c r="E4" s="4" t="s">
        <v>521</v>
      </c>
      <c r="F4" s="4" t="s">
        <v>522</v>
      </c>
      <c r="G4" s="4" t="s">
        <v>523</v>
      </c>
      <c r="H4" s="4" t="s">
        <v>342</v>
      </c>
      <c r="I4" s="4" t="s">
        <v>316</v>
      </c>
      <c r="J4" s="4" t="s">
        <v>190</v>
      </c>
      <c r="K4" s="4" t="s">
        <v>524</v>
      </c>
    </row>
    <row r="5" spans="1:11" ht="15" customHeight="1" x14ac:dyDescent="0.3">
      <c r="A5" s="4" t="s">
        <v>488</v>
      </c>
      <c r="C5" s="4" t="s">
        <v>525</v>
      </c>
      <c r="D5" s="4" t="s">
        <v>526</v>
      </c>
      <c r="F5" s="4" t="s">
        <v>527</v>
      </c>
      <c r="G5" s="4" t="s">
        <v>528</v>
      </c>
      <c r="H5" s="4" t="s">
        <v>529</v>
      </c>
      <c r="I5" s="4" t="s">
        <v>530</v>
      </c>
      <c r="J5" s="4" t="s">
        <v>531</v>
      </c>
    </row>
    <row r="6" spans="1:11" ht="15" customHeight="1" x14ac:dyDescent="0.3">
      <c r="A6" s="4" t="s">
        <v>374</v>
      </c>
      <c r="C6" s="4" t="s">
        <v>532</v>
      </c>
      <c r="F6" s="4" t="s">
        <v>338</v>
      </c>
      <c r="G6" s="4" t="s">
        <v>513</v>
      </c>
      <c r="H6" s="4" t="s">
        <v>533</v>
      </c>
    </row>
    <row r="7" spans="1:11" ht="15" customHeight="1" x14ac:dyDescent="0.3">
      <c r="A7" s="4" t="s">
        <v>493</v>
      </c>
      <c r="C7" s="4" t="s">
        <v>534</v>
      </c>
      <c r="F7" s="4" t="s">
        <v>343</v>
      </c>
      <c r="G7" s="4" t="s">
        <v>535</v>
      </c>
    </row>
    <row r="8" spans="1:11" ht="15" customHeight="1" x14ac:dyDescent="0.3">
      <c r="A8" s="4" t="s">
        <v>496</v>
      </c>
      <c r="C8" s="4" t="s">
        <v>301</v>
      </c>
      <c r="G8" s="4" t="s">
        <v>341</v>
      </c>
    </row>
    <row r="9" spans="1:11" ht="15" customHeight="1" x14ac:dyDescent="0.3">
      <c r="A9" s="4" t="s">
        <v>497</v>
      </c>
      <c r="C9" s="4" t="s">
        <v>299</v>
      </c>
      <c r="G9" s="4" t="s">
        <v>536</v>
      </c>
    </row>
    <row r="10" spans="1:11" ht="15" customHeight="1" x14ac:dyDescent="0.3">
      <c r="A10" s="4" t="s">
        <v>499</v>
      </c>
      <c r="C10" s="4" t="s">
        <v>537</v>
      </c>
    </row>
    <row r="11" spans="1:11" ht="15" customHeight="1" x14ac:dyDescent="0.3">
      <c r="A11" s="4" t="s">
        <v>501</v>
      </c>
      <c r="C11" s="4" t="s">
        <v>538</v>
      </c>
    </row>
    <row r="12" spans="1:11" ht="15" customHeight="1" x14ac:dyDescent="0.3">
      <c r="A12" s="4" t="s">
        <v>502</v>
      </c>
    </row>
    <row r="13" spans="1:11" ht="15" customHeight="1" x14ac:dyDescent="0.3">
      <c r="A13" s="4" t="s">
        <v>504</v>
      </c>
    </row>
    <row r="14" spans="1:11" ht="15" customHeight="1" x14ac:dyDescent="0.3">
      <c r="A14" s="4" t="s">
        <v>505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2026-10-05T20:33:04Z</dcterms:modified>
  <dc:language>en-US</dc:language>
</cp:coreProperties>
</file>