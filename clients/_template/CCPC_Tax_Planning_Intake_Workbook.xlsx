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07c16c34f2daf9f/Google Drive Docs/Biz Infograph/Claude/tax-planning-agent_rate_llm/clients/_template/"/>
    </mc:Choice>
  </mc:AlternateContent>
  <xr:revisionPtr revIDLastSave="0" documentId="11_44A903A2E52269CB727786B3BF84C54966D86C59" xr6:coauthVersionLast="47" xr6:coauthVersionMax="47" xr10:uidLastSave="{00000000-0000-0000-0000-000000000000}"/>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4" l="1"/>
  <c r="C18" i="14"/>
  <c r="C9" i="14"/>
  <c r="B20" i="13"/>
  <c r="B32" i="2" s="1"/>
  <c r="C10" i="13"/>
  <c r="C25" i="12"/>
  <c r="C15" i="12"/>
  <c r="C21" i="11"/>
  <c r="H13" i="11"/>
  <c r="G13" i="11"/>
  <c r="F13" i="11"/>
  <c r="C18" i="11" s="1"/>
  <c r="B49" i="2" s="1"/>
  <c r="E13" i="11"/>
  <c r="C17" i="11" s="1"/>
  <c r="D13" i="11"/>
  <c r="C16" i="11" s="1"/>
  <c r="C13" i="11"/>
  <c r="B48" i="2" s="1"/>
  <c r="I11" i="10"/>
  <c r="A57"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17" i="2" s="1"/>
  <c r="B43" i="5"/>
  <c r="B31" i="5"/>
  <c r="B14" i="5"/>
  <c r="B9" i="5"/>
  <c r="C14" i="4"/>
  <c r="B14" i="4"/>
  <c r="E12" i="4"/>
  <c r="D12" i="4"/>
  <c r="F12" i="4" s="1"/>
  <c r="F11" i="4"/>
  <c r="E11" i="4"/>
  <c r="D11" i="4"/>
  <c r="F10" i="4"/>
  <c r="E10" i="4"/>
  <c r="D10" i="4"/>
  <c r="E9" i="4"/>
  <c r="D9" i="4"/>
  <c r="F9" i="4" s="1"/>
  <c r="E8" i="4"/>
  <c r="D8" i="4"/>
  <c r="F8" i="4" s="1"/>
  <c r="E7" i="4"/>
  <c r="D7" i="4"/>
  <c r="F7" i="4" s="1"/>
  <c r="E6" i="4"/>
  <c r="D6" i="4"/>
  <c r="F6" i="4" s="1"/>
  <c r="E5" i="4"/>
  <c r="D5" i="4"/>
  <c r="F5" i="4" s="1"/>
  <c r="B53" i="2"/>
  <c r="B52" i="2"/>
  <c r="B44" i="2"/>
  <c r="B43" i="2"/>
  <c r="B40" i="2"/>
  <c r="B42" i="2" s="1"/>
  <c r="B38" i="2"/>
  <c r="B8" i="2"/>
  <c r="B7" i="2"/>
  <c r="B6" i="2"/>
  <c r="B5" i="2"/>
  <c r="B45" i="2" l="1"/>
  <c r="A58" i="2"/>
  <c r="I4" i="8"/>
  <c r="I13" i="8" s="1"/>
  <c r="H13" i="8"/>
  <c r="B51" i="2" s="1"/>
  <c r="B41" i="6"/>
  <c r="E5" i="9" s="1"/>
  <c r="E10" i="9" s="1"/>
  <c r="B19" i="2" s="1"/>
  <c r="B20" i="2" s="1"/>
  <c r="B18" i="2"/>
  <c r="B37" i="2"/>
  <c r="B39" i="2" s="1"/>
  <c r="B41" i="2" s="1"/>
  <c r="C10" i="12"/>
  <c r="C16" i="12" s="1"/>
  <c r="C28" i="12" s="1"/>
  <c r="B15" i="5"/>
  <c r="B32" i="5" s="1"/>
  <c r="F14" i="4"/>
  <c r="B12" i="2"/>
  <c r="B13" i="2" s="1"/>
  <c r="B30" i="2" s="1"/>
  <c r="B11" i="2"/>
  <c r="B25" i="2" l="1"/>
  <c r="B21" i="2"/>
  <c r="B22" i="2" s="1"/>
  <c r="A56" i="2"/>
  <c r="B50" i="2"/>
  <c r="C29" i="12"/>
  <c r="B44" i="5"/>
  <c r="B49" i="5" s="1"/>
  <c r="B47" i="5"/>
  <c r="G5" i="4" l="1"/>
  <c r="G6" i="4"/>
  <c r="G7" i="4"/>
  <c r="G8" i="4"/>
  <c r="G9" i="4"/>
  <c r="G10" i="4"/>
  <c r="G11" i="4"/>
  <c r="G12" i="4"/>
  <c r="B33" i="6"/>
  <c r="B34" i="6" s="1"/>
  <c r="D5" i="9"/>
  <c r="D10" i="9" s="1"/>
  <c r="B16" i="2"/>
  <c r="B37" i="6" l="1"/>
  <c r="B36" i="6"/>
  <c r="B23" i="2"/>
  <c r="B28" i="2" s="1"/>
  <c r="B31" i="2" s="1"/>
  <c r="B24" i="2"/>
  <c r="B29" i="2" s="1"/>
  <c r="B33" i="2" l="1"/>
  <c r="B34" i="2"/>
</calcChain>
</file>

<file path=xl/sharedStrings.xml><?xml version="1.0" encoding="utf-8"?>
<sst xmlns="http://schemas.openxmlformats.org/spreadsheetml/2006/main" count="658" uniqueCount="536">
  <si>
    <t>CCPC Corporate Tax Planning &amp; Compliance Intake Workbook</t>
  </si>
  <si>
    <t>For Canadian-Controlled Private Corporations (CCPCs)  |  All Provinces &amp; Territories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</si>
  <si>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</si>
  <si>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</si>
  <si>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</si>
  <si>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</si>
  <si>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</si>
  <si>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</si>
  <si>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</si>
  <si>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</si>
  <si>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</si>
  <si>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</si>
  <si>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</si>
  <si>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</si>
  <si>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</si>
  <si>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</si>
  <si>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</si>
  <si>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</si>
  <si>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</si>
  <si>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</si>
  <si>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</si>
  <si>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</si>
  <si>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</si>
  <si>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</si>
  <si>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</si>
  <si>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</si>
  <si>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</si>
  <si>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</si>
  <si>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</si>
  <si>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</si>
  <si>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</si>
  <si>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</si>
  <si>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</si>
  <si>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</si>
  <si>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</si>
  <si>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</si>
  <si>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</si>
  <si>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</si>
  <si>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</si>
  <si>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</si>
  <si>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</si>
  <si>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</si>
  <si>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</si>
  <si>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</si>
  <si>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</si>
  <si>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Everything below is CALCULATED from the tabs you completed.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</si>
  <si>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</si>
  <si>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</si>
  <si>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</si>
  <si>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</si>
  <si>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</si>
  <si>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</si>
  <si>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</si>
  <si>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</si>
  <si>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</si>
  <si>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</si>
  <si>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</si>
  <si>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</si>
  <si>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Aggregate Investment Income (this entity, current year — used as proxy for prior-year AAII test)</t>
  </si>
  <si>
    <t>Passive-Income Grind (reduction to $500K limit: 5 × (AAII − $50,000), capped)</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</si>
  <si>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</si>
  <si>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</si>
  <si>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</si>
  <si>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</si>
  <si>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If associated, pulls this entity's row from the Schedule 23 allocation table by name; if not associated, defaults to the full $500K (post-grind).</t>
  </si>
  <si>
    <t>Active Business Income Taxed at SBD Rate</t>
  </si>
  <si>
    <t>Active Business Income Taxed at General Rate (excess over SBD limit)</t>
  </si>
  <si>
    <t>⚠ Passive-Income Grind Flag</t>
  </si>
  <si>
    <t>2. CURRENT-YEAR CORPORATE TAX ESTIMATE (federal + provincial)</t>
  </si>
  <si>
    <t>Tax on SBD-Rate Income</t>
  </si>
  <si>
    <t>Tax on General-Rate Active Business Income</t>
  </si>
  <si>
    <t>Tax on Aggregate Investment Income</t>
  </si>
  <si>
    <t>ESTIMATED TOTAL CORPORATE TAX PAYABLE</t>
  </si>
  <si>
    <t>Less: Instalments Already Paid</t>
  </si>
  <si>
    <t>Balance Owing / (Refund) at Year-End</t>
  </si>
  <si>
    <t>Instalments Likely Required Next Year?</t>
  </si>
  <si>
    <t>3. RDTOH / GRIP / CDA — RECOVERABLE TAX POOLS</t>
  </si>
  <si>
    <t>Non-Eligible RDTOH Addition This Year (≈30⅔% of Aggregate Investment Income)</t>
  </si>
  <si>
    <t>Non-Eligible RDTOH — Opening Balance</t>
  </si>
  <si>
    <t>Non-Eligible RDTOH — Closing Balance (Opening + Addition)</t>
  </si>
  <si>
    <t>Eligible RDTOH — Opening/Closing Balance (carried forward)</t>
  </si>
  <si>
    <t>Non-Eligible Dividend Needed to Fully Recover Non-Eligible RDTOH (÷38⅓%)</t>
  </si>
  <si>
    <t>Eligible Dividend Needed to Fully Recover Eligible RDTOH (÷38⅓%)</t>
  </si>
  <si>
    <t>GRIP Balance Available (for lower-taxed ELIGIBLE dividends)</t>
  </si>
  <si>
    <t>CDA Balance Available (paid 100% TAX-FREE by election — T2054)</t>
  </si>
  <si>
    <t>⚠ Action Flag</t>
  </si>
  <si>
    <t>4. PAYROLL, GST/HST &amp; COMPLIANCE SUMMARY</t>
  </si>
  <si>
    <t>Total Salaries &amp; Wages Paid</t>
  </si>
  <si>
    <t>Employer EI Contribution (1.4x)</t>
  </si>
  <si>
    <t>GST/HST Net Tax Owing / (Refund)</t>
  </si>
  <si>
    <t>CCA Claimed This Year (reduces taxable income above — apply manually if not yet reflected)</t>
  </si>
  <si>
    <t>SR&amp;ED Investment Tax Credit Estimate</t>
  </si>
  <si>
    <t>Provincial Credit Estimate</t>
  </si>
  <si>
    <t>5. PLANNING FLAGS TO DISCUSS WITH YOUR ACCOUNTANT</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</si>
  <si>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</si>
  <si>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</si>
  <si>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</si>
  <si>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</si>
  <si>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</si>
  <si>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</si>
  <si>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e.g., 123456789</t>
  </si>
  <si>
    <t>Corporation Program Account (RC)</t>
  </si>
  <si>
    <t>e.g., RC0001</t>
  </si>
  <si>
    <t>Incorporation Date</t>
  </si>
  <si>
    <t>e.g., 2016-04-01</t>
  </si>
  <si>
    <t>Industry / NAICS Code</t>
  </si>
  <si>
    <t>e.g., 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</si>
  <si>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</si>
  <si>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</si>
  <si>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</si>
  <si>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</si>
  <si>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</si>
  <si>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</si>
  <si>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</si>
  <si>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</si>
  <si>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</si>
  <si>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</si>
  <si>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e.g., 2025-01-01</t>
  </si>
  <si>
    <t>Fiscal Year End Date</t>
  </si>
  <si>
    <t>e.g., 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</si>
  <si>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</si>
  <si>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</si>
  <si>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</si>
  <si>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</si>
  <si>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</si>
  <si>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</si>
  <si>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</si>
  <si>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</si>
  <si>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</si>
  <si>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</si>
  <si>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</si>
  <si>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</si>
  <si>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</si>
  <si>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</si>
  <si>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</si>
  <si>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</si>
  <si>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</si>
  <si>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</si>
  <si>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</si>
  <si>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</si>
  <si>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</si>
  <si>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</si>
  <si>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</si>
  <si>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</si>
  <si>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</si>
  <si>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</si>
  <si>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</si>
  <si>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</si>
  <si>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</si>
  <si>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</si>
  <si>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</si>
  <si>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</si>
  <si>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</si>
  <si>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</si>
  <si>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</si>
  <si>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</si>
  <si>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</si>
  <si>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</si>
  <si>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</si>
  <si>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</si>
  <si>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</si>
  <si>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</si>
  <si>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</si>
  <si>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</si>
  <si>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</si>
  <si>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</si>
  <si>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</si>
  <si>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</si>
  <si>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</si>
  <si>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</si>
  <si>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</si>
  <si>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</si>
  <si>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</si>
  <si>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</si>
  <si>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</si>
  <si>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</si>
  <si>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</si>
  <si>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</si>
  <si>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</si>
  <si>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</si>
  <si>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</si>
  <si>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</si>
  <si>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</si>
  <si>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Excluded from Aggregate Investment Income — from a connected corporation, not portfolio.</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</si>
  <si>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</si>
  <si>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</si>
  <si>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</si>
  <si>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</si>
  <si>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</si>
  <si>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</si>
  <si>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</si>
  <si>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</si>
  <si>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</si>
  <si>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</si>
  <si>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</si>
  <si>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</si>
  <si>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</si>
  <si>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</si>
  <si>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</si>
  <si>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</si>
  <si>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</si>
  <si>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</si>
  <si>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</si>
  <si>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</si>
  <si>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</si>
  <si>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</si>
  <si>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</si>
  <si>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</si>
  <si>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</si>
  <si>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</si>
  <si>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</si>
  <si>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</si>
  <si>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</si>
  <si>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</si>
  <si>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</si>
  <si>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</si>
  <si>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</si>
  <si>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</si>
  <si>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</si>
  <si>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</si>
  <si>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</si>
  <si>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</si>
  <si>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</si>
  <si>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</si>
  <si>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</si>
  <si>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</si>
  <si>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</si>
  <si>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</si>
  <si>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</si>
  <si>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</si>
  <si>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</si>
  <si>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</si>
  <si>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</si>
  <si>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</si>
  <si>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</si>
  <si>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</si>
  <si>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</si>
  <si>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</si>
  <si>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</si>
  <si>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</si>
  <si>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</si>
  <si>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</si>
  <si>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</si>
  <si>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</si>
  <si>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</si>
  <si>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</si>
  <si>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</si>
  <si>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</si>
  <si>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</si>
  <si>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</si>
  <si>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</si>
  <si>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</si>
  <si>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</si>
  <si>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</si>
  <si>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</si>
  <si>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</si>
  <si>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</si>
  <si>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</si>
  <si>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</si>
  <si>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</si>
  <si>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</si>
  <si>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</si>
  <si>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</si>
  <si>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</si>
  <si>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</si>
  <si>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</si>
  <si>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</si>
  <si>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</si>
  <si>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</si>
  <si>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</si>
  <si>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</si>
  <si>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</si>
  <si>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</si>
  <si>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</si>
  <si>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</si>
  <si>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</si>
  <si>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</si>
  <si>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</si>
  <si>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</si>
  <si>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</si>
  <si>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</si>
  <si>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</si>
  <si>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</si>
  <si>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</si>
  <si>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</si>
  <si>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</si>
  <si>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</si>
  <si>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</si>
  <si>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</si>
  <si>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</si>
  <si>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</si>
  <si>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</si>
  <si>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</si>
  <si>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</si>
  <si>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</si>
  <si>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</si>
  <si>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</si>
  <si>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</si>
  <si>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</si>
  <si>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</si>
  <si>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</si>
  <si>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</si>
  <si>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</si>
  <si>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</si>
  <si>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</si>
  <si>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</si>
  <si>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</si>
  <si>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</si>
  <si>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</si>
  <si>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</si>
  <si>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</si>
  <si>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</si>
  <si>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</si>
  <si>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</si>
  <si>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</si>
  <si>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</si>
  <si>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</si>
  <si>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</si>
  <si>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</si>
  <si>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</si>
  <si>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</si>
  <si>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</si>
  <si>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</si>
  <si>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</si>
  <si>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</si>
  <si>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</si>
  <si>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</si>
  <si>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</si>
  <si>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</si>
  <si>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</si>
  <si>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</si>
  <si>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</si>
  <si>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</si>
  <si>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</si>
  <si>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</si>
  <si>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</si>
  <si>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</si>
  <si>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</si>
  <si>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</si>
  <si>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</si>
  <si>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</si>
  <si>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</si>
  <si>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</si>
  <si>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</si>
  <si>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</si>
  <si>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</si>
  <si>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</si>
  <si>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</si>
  <si>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</si>
  <si>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</si>
  <si>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</si>
  <si>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</si>
  <si>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</si>
  <si>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</si>
  <si>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</si>
  <si>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</si>
  <si>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</si>
  <si>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</si>
  <si>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</si>
  <si>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</si>
  <si>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</si>
  <si>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</si>
  <si>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</si>
  <si>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</si>
  <si>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</si>
  <si>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</si>
  <si>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</si>
  <si>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</si>
  <si>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</si>
  <si>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</si>
  <si>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</si>
  <si>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</si>
  <si>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</si>
  <si>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</si>
  <si>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</si>
  <si>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</si>
  <si>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</si>
  <si>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</si>
  <si>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</si>
  <si>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</si>
  <si>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</si>
  <si>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</si>
  <si>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</si>
  <si>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</si>
  <si>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</si>
  <si>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</si>
  <si>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</si>
  <si>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</si>
  <si>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</si>
  <si>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</si>
  <si>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</si>
  <si>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</si>
  <si>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</si>
  <si>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</si>
  <si>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</si>
  <si>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</si>
  <si>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</si>
  <si>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</si>
  <si>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</si>
  <si>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</si>
  <si>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</si>
  <si>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</si>
  <si>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</si>
  <si>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</si>
  <si>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</si>
  <si>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</si>
  <si>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</si>
  <si>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</si>
  <si>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</si>
  <si>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</si>
  <si>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</si>
  <si>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</si>
  <si>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</si>
  <si>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</si>
  <si>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</si>
  <si>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</si>
  <si>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</si>
  <si>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</si>
  <si>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</si>
  <si>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</si>
  <si>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</si>
  <si>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</si>
  <si>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</si>
  <si>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</si>
  <si>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</si>
  <si>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</si>
  <si>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</si>
  <si>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</si>
  <si>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</si>
  <si>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</si>
  <si>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</si>
  <si>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</si>
  <si>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</si>
  <si>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</si>
  <si>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</si>
  <si>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</si>
  <si>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</si>
  <si>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</si>
  <si>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</si>
  <si>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</si>
  <si>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</si>
  <si>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</si>
  <si>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</si>
  <si>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</si>
  <si>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</si>
  <si>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e.g., 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</si>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</sst>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1"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i/>
      <sz val="10"/>
      <color rgb="FF595959"/>
      <name val="Arial"/>
      <charset val="1"/>
    </font>
    <font>
      <sz val="10"/>
      <color rgb="FF375623"/>
      <name val="Arial"/>
      <charset val="1"/>
    </font>
    <font>
      <i/>
      <sz val="9"/>
      <color rgb="FFC00000"/>
      <name val="Arial"/>
      <charset val="1"/>
    </font>
    <font>
      <b/>
      <sz val="11"/>
      <name val="Arial"/>
      <charset val="1"/>
    </font>
  </fonts>
  <fills count="7">
    <fill>
      <patternFill patternType="none"/>
    </fill>
    <fill>
      <patternFill patternType="gray125"/>
    </fill>
    <fill>
      <patternFill patternType="solid">
        <fgColor rgb="FF1F3864"/>
        <bgColor rgb="FF333399"/>
      </patternFill>
    </fill>
    <fill>
      <patternFill patternType="solid">
        <fgColor rgb="FF4472C4"/>
        <bgColor rgb="FF0066CC"/>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9" fillId="0" borderId="0" xfId="0" applyFont="1"/>
    <xf numFmtId="0" fontId="3" fillId="3" borderId="2" xfId="0" applyFont="1" applyFill="1" applyBorder="1" applyAlignment="1">
      <alignment horizontal="left" vertical="center" indent="1"/>
    </xf>
    <xf numFmtId="0" fontId="4" fillId="0" borderId="1" xfId="0" applyFont="1" applyBorder="1"/>
    <xf numFmtId="0" fontId="8"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8"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10" fillId="4" borderId="1" xfId="0" applyFont="1" applyFill="1" applyBorder="1"/>
    <xf numFmtId="165" fontId="10" fillId="4" borderId="1" xfId="0" applyNumberFormat="1" applyFont="1" applyFill="1" applyBorder="1"/>
    <xf numFmtId="0" fontId="0" fillId="4" borderId="1" xfId="0" applyFill="1" applyBorder="1"/>
    <xf numFmtId="166" fontId="4" fillId="0" borderId="1" xfId="0" applyNumberFormat="1" applyFont="1" applyBorder="1"/>
    <xf numFmtId="0" fontId="9" fillId="0" borderId="1" xfId="0" applyFont="1" applyBorder="1"/>
    <xf numFmtId="166" fontId="8" fillId="0" borderId="1" xfId="0" applyNumberFormat="1" applyFont="1" applyBorder="1"/>
    <xf numFmtId="0" fontId="7" fillId="5" borderId="1" xfId="0" applyFont="1" applyFill="1" applyBorder="1"/>
    <xf numFmtId="0" fontId="7" fillId="0" borderId="1" xfId="0" applyFont="1" applyBorder="1" applyAlignment="1">
      <alignment horizontal="center"/>
    </xf>
    <xf numFmtId="165" fontId="7" fillId="0" borderId="1" xfId="0" applyNumberFormat="1" applyFont="1" applyBorder="1"/>
    <xf numFmtId="0" fontId="2" fillId="0" borderId="1" xfId="0" applyFont="1" applyBorder="1"/>
    <xf numFmtId="0" fontId="6" fillId="5" borderId="1" xfId="0" applyFont="1" applyFill="1" applyBorder="1"/>
    <xf numFmtId="165" fontId="6" fillId="5" borderId="1" xfId="0" applyNumberFormat="1" applyFont="1" applyFill="1" applyBorder="1"/>
    <xf numFmtId="0" fontId="7" fillId="0" borderId="1" xfId="0" applyFont="1" applyBorder="1"/>
    <xf numFmtId="0" fontId="0" fillId="5" borderId="1" xfId="0" applyFill="1" applyBorder="1"/>
    <xf numFmtId="0" fontId="7" fillId="0" borderId="1" xfId="0" applyFont="1" applyBorder="1" applyAlignment="1">
      <alignment vertical="top" wrapText="1"/>
    </xf>
    <xf numFmtId="165" fontId="0" fillId="0" borderId="1" xfId="0" applyNumberFormat="1" applyBorder="1"/>
    <xf numFmtId="165" fontId="7" fillId="5" borderId="1" xfId="0" applyNumberFormat="1" applyFont="1" applyFill="1" applyBorder="1"/>
    <xf numFmtId="0" fontId="7" fillId="0" borderId="0" xfId="0" applyFont="1" applyAlignment="1">
      <alignment horizontal="center"/>
    </xf>
    <xf numFmtId="9" fontId="7" fillId="0" borderId="0" xfId="0" applyNumberFormat="1" applyFont="1"/>
    <xf numFmtId="9" fontId="6" fillId="5" borderId="1" xfId="0" applyNumberFormat="1" applyFont="1" applyFill="1" applyBorder="1"/>
    <xf numFmtId="9" fontId="7"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7" fillId="5" borderId="1" xfId="0" applyNumberFormat="1" applyFont="1" applyFill="1" applyBorder="1"/>
    <xf numFmtId="168" fontId="4" fillId="6" borderId="1" xfId="0" applyNumberFormat="1" applyFont="1" applyFill="1" applyBorder="1"/>
    <xf numFmtId="0" fontId="8" fillId="5" borderId="1" xfId="0" applyFont="1" applyFill="1" applyBorder="1"/>
    <xf numFmtId="169" fontId="8" fillId="5" borderId="1" xfId="0" applyNumberFormat="1" applyFont="1" applyFill="1" applyBorder="1"/>
    <xf numFmtId="165" fontId="4" fillId="5" borderId="1" xfId="0" applyNumberFormat="1" applyFont="1" applyFill="1" applyBorder="1"/>
    <xf numFmtId="166" fontId="10"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9"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9" fillId="0" borderId="2" xfId="0" applyFont="1" applyBorder="1" applyAlignment="1">
      <alignment vertical="top" wrapText="1"/>
    </xf>
    <xf numFmtId="0" fontId="0" fillId="0" borderId="4" xfId="0" applyBorder="1"/>
    <xf numFmtId="0" fontId="3" fillId="3" borderId="2" xfId="0" applyFont="1" applyFill="1" applyBorder="1" applyAlignment="1">
      <alignment horizontal="left" vertical="center" indent="1"/>
    </xf>
    <xf numFmtId="0" fontId="2" fillId="0" borderId="2" xfId="0" applyFont="1" applyBorder="1" applyAlignment="1">
      <alignment vertical="top" wrapTex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9" fillId="0" borderId="1" xfId="0" applyFont="1" applyBorder="1" applyAlignment="1">
      <alignment vertical="top" wrapText="1"/>
    </xf>
    <xf numFmtId="0" fontId="0" fillId="0" borderId="8" xfId="0" applyBorder="1"/>
    <xf numFmtId="0" fontId="0" fillId="0" borderId="9"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60" t="s">
        <v>0</v>
      </c>
      <c r="B1" s="57"/>
      <c r="C1" s="57"/>
      <c r="D1" s="57"/>
    </row>
    <row r="2" spans="1:4" ht="15" customHeight="1" x14ac:dyDescent="0.3">
      <c r="A2" s="62" t="s">
        <v>1</v>
      </c>
      <c r="B2" s="57"/>
      <c r="C2" s="57"/>
      <c r="D2" s="57"/>
    </row>
    <row r="4" spans="1:4" ht="18" customHeight="1" x14ac:dyDescent="0.3">
      <c r="A4" s="56" t="s">
        <v>2</v>
      </c>
      <c r="B4" s="57"/>
      <c r="C4" s="57"/>
      <c r="D4" s="57"/>
    </row>
    <row r="5" spans="1:4" ht="15" customHeight="1" x14ac:dyDescent="0.3">
      <c r="A5" s="61" t="s">
        <v>3</v>
      </c>
      <c r="B5" s="57"/>
      <c r="C5" s="57"/>
      <c r="D5" s="57"/>
    </row>
    <row r="6" spans="1:4" ht="15" customHeight="1" x14ac:dyDescent="0.3">
      <c r="A6" s="57"/>
      <c r="B6" s="57"/>
      <c r="C6" s="57"/>
      <c r="D6" s="57"/>
    </row>
    <row r="8" spans="1:4" ht="18" customHeight="1" x14ac:dyDescent="0.3">
      <c r="A8" s="56" t="s">
        <v>4</v>
      </c>
      <c r="B8" s="57"/>
      <c r="C8" s="57"/>
      <c r="D8" s="57"/>
    </row>
    <row r="9" spans="1:4" ht="15" customHeight="1" x14ac:dyDescent="0.3">
      <c r="A9" s="61" t="s">
        <v>5</v>
      </c>
      <c r="B9" s="57"/>
      <c r="C9" s="57"/>
      <c r="D9" s="57"/>
    </row>
    <row r="10" spans="1:4" ht="15" customHeight="1" x14ac:dyDescent="0.3">
      <c r="A10" s="57"/>
      <c r="B10" s="57"/>
      <c r="C10" s="57"/>
      <c r="D10" s="57"/>
    </row>
    <row r="11" spans="1:4" ht="15" customHeight="1" x14ac:dyDescent="0.3">
      <c r="A11" s="61" t="s">
        <v>6</v>
      </c>
      <c r="B11" s="57"/>
      <c r="C11" s="57"/>
      <c r="D11" s="57"/>
    </row>
    <row r="12" spans="1:4" ht="15" customHeight="1" x14ac:dyDescent="0.3">
      <c r="A12" s="57"/>
      <c r="B12" s="57"/>
      <c r="C12" s="57"/>
      <c r="D12" s="57"/>
    </row>
    <row r="13" spans="1:4" ht="15" customHeight="1" x14ac:dyDescent="0.3">
      <c r="A13" s="61" t="s">
        <v>7</v>
      </c>
      <c r="B13" s="57"/>
      <c r="C13" s="57"/>
      <c r="D13" s="57"/>
    </row>
    <row r="14" spans="1:4" ht="15" customHeight="1" x14ac:dyDescent="0.3">
      <c r="A14" s="57"/>
      <c r="B14" s="57"/>
      <c r="C14" s="57"/>
      <c r="D14" s="57"/>
    </row>
    <row r="15" spans="1:4" ht="15" customHeight="1" x14ac:dyDescent="0.3">
      <c r="A15" s="61" t="s">
        <v>8</v>
      </c>
      <c r="B15" s="57"/>
      <c r="C15" s="57"/>
      <c r="D15" s="57"/>
    </row>
    <row r="16" spans="1:4" ht="15" customHeight="1" x14ac:dyDescent="0.3">
      <c r="A16" s="57"/>
      <c r="B16" s="57"/>
      <c r="C16" s="57"/>
      <c r="D16" s="57"/>
    </row>
    <row r="17" spans="1:4" ht="15" customHeight="1" x14ac:dyDescent="0.3">
      <c r="A17" s="61" t="s">
        <v>9</v>
      </c>
      <c r="B17" s="57"/>
      <c r="C17" s="57"/>
      <c r="D17" s="57"/>
    </row>
    <row r="18" spans="1:4" ht="15" customHeight="1" x14ac:dyDescent="0.3">
      <c r="A18" s="57"/>
      <c r="B18" s="57"/>
      <c r="C18" s="57"/>
      <c r="D18" s="57"/>
    </row>
    <row r="19" spans="1:4" ht="15" customHeight="1" x14ac:dyDescent="0.3">
      <c r="A19" s="61" t="s">
        <v>10</v>
      </c>
      <c r="B19" s="57"/>
      <c r="C19" s="57"/>
      <c r="D19" s="57"/>
    </row>
    <row r="20" spans="1:4" ht="15" customHeight="1" x14ac:dyDescent="0.3">
      <c r="A20" s="57"/>
      <c r="B20" s="57"/>
      <c r="C20" s="57"/>
      <c r="D20" s="57"/>
    </row>
    <row r="22" spans="1:4" ht="18" customHeight="1" x14ac:dyDescent="0.3">
      <c r="A22" s="56" t="s">
        <v>11</v>
      </c>
      <c r="B22" s="57"/>
      <c r="C22" s="57"/>
      <c r="D22" s="57"/>
    </row>
    <row r="23" spans="1:4" ht="30" customHeight="1" x14ac:dyDescent="0.3">
      <c r="A23" s="2" t="s">
        <v>12</v>
      </c>
      <c r="B23" s="2" t="s">
        <v>13</v>
      </c>
      <c r="C23" s="2"/>
      <c r="D23" s="2"/>
    </row>
    <row r="24" spans="1:4" ht="15" customHeight="1" x14ac:dyDescent="0.3">
      <c r="A24" s="3" t="s">
        <v>14</v>
      </c>
      <c r="B24" s="58" t="s">
        <v>15</v>
      </c>
      <c r="C24" s="57"/>
      <c r="D24" s="57"/>
    </row>
    <row r="25" spans="1:4" ht="15" customHeight="1" x14ac:dyDescent="0.3">
      <c r="A25" s="5" t="s">
        <v>16</v>
      </c>
      <c r="B25" s="58" t="s">
        <v>17</v>
      </c>
      <c r="C25" s="57"/>
      <c r="D25" s="57"/>
    </row>
    <row r="26" spans="1:4" ht="15" customHeight="1" x14ac:dyDescent="0.3">
      <c r="A26" s="5" t="s">
        <v>18</v>
      </c>
      <c r="B26" s="58" t="s">
        <v>19</v>
      </c>
      <c r="C26" s="57"/>
      <c r="D26" s="57"/>
    </row>
    <row r="27" spans="1:4" ht="15" customHeight="1" x14ac:dyDescent="0.3">
      <c r="A27" s="4" t="s">
        <v>20</v>
      </c>
      <c r="B27" s="58" t="s">
        <v>21</v>
      </c>
      <c r="C27" s="57"/>
      <c r="D27" s="57"/>
    </row>
    <row r="28" spans="1:4" ht="15" customHeight="1" x14ac:dyDescent="0.3">
      <c r="A28" s="6" t="s">
        <v>22</v>
      </c>
      <c r="B28" s="58" t="s">
        <v>23</v>
      </c>
      <c r="C28" s="57"/>
      <c r="D28" s="57"/>
    </row>
    <row r="29" spans="1:4" ht="15" customHeight="1" x14ac:dyDescent="0.3">
      <c r="A29" s="7" t="s">
        <v>24</v>
      </c>
      <c r="B29" s="58" t="s">
        <v>25</v>
      </c>
      <c r="C29" s="57"/>
      <c r="D29" s="57"/>
    </row>
    <row r="31" spans="1:4" ht="18" customHeight="1" x14ac:dyDescent="0.3">
      <c r="A31" s="56" t="s">
        <v>26</v>
      </c>
      <c r="B31" s="57"/>
      <c r="C31" s="57"/>
      <c r="D31" s="57"/>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6" t="s">
        <v>42</v>
      </c>
      <c r="B48" s="57"/>
      <c r="C48" s="57"/>
      <c r="D48" s="57"/>
    </row>
    <row r="49" spans="1:4" ht="15" customHeight="1" x14ac:dyDescent="0.3">
      <c r="A49" s="59" t="s">
        <v>43</v>
      </c>
      <c r="B49" s="57"/>
      <c r="C49" s="57"/>
      <c r="D49" s="57"/>
    </row>
    <row r="50" spans="1:4" ht="15" customHeight="1" x14ac:dyDescent="0.3">
      <c r="A50" s="57"/>
      <c r="B50" s="57"/>
      <c r="C50" s="57"/>
      <c r="D50" s="57"/>
    </row>
    <row r="51" spans="1:4" ht="15" customHeight="1" x14ac:dyDescent="0.3">
      <c r="A51" s="57"/>
      <c r="B51" s="57"/>
      <c r="C51" s="57"/>
      <c r="D51" s="57"/>
    </row>
  </sheetData>
  <mergeCells count="21">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 ref="A8:D8"/>
    <mergeCell ref="A22:D22"/>
    <mergeCell ref="A4:D4"/>
    <mergeCell ref="B29:D29"/>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59"/>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60" t="s">
        <v>44</v>
      </c>
      <c r="B1" s="57"/>
      <c r="C1" s="57"/>
      <c r="D1" s="57"/>
    </row>
    <row r="2" spans="1:4" ht="22.35" customHeight="1" x14ac:dyDescent="0.3">
      <c r="A2" s="59" t="s">
        <v>45</v>
      </c>
      <c r="B2" s="57"/>
      <c r="C2" s="57"/>
      <c r="D2" s="57"/>
    </row>
    <row r="4" spans="1:4" ht="18" customHeight="1" x14ac:dyDescent="0.3">
      <c r="A4" s="65" t="s">
        <v>46</v>
      </c>
      <c r="B4" s="64"/>
      <c r="C4" s="64"/>
      <c r="D4" s="64"/>
    </row>
    <row r="5" spans="1:4" ht="15" customHeight="1" x14ac:dyDescent="0.3">
      <c r="A5" s="9" t="s">
        <v>47</v>
      </c>
      <c r="B5" s="10" t="str">
        <f>'1. Entity Setup'!C4</f>
        <v>Northern Peak Consulting Inc.</v>
      </c>
    </row>
    <row r="6" spans="1:4" ht="15" customHeight="1" x14ac:dyDescent="0.3">
      <c r="A6" s="9" t="s">
        <v>48</v>
      </c>
      <c r="B6" s="10" t="str">
        <f>'1. Entity Setup'!$C$12</f>
        <v>Alberta</v>
      </c>
    </row>
    <row r="7" spans="1:4" ht="15" customHeight="1" x14ac:dyDescent="0.3">
      <c r="A7" s="9" t="s">
        <v>49</v>
      </c>
      <c r="B7" s="10" t="str">
        <f>'1. Entity Setup'!$C$18</f>
        <v>2025</v>
      </c>
    </row>
    <row r="8" spans="1:4" ht="15" customHeight="1" x14ac:dyDescent="0.3">
      <c r="A8" s="9" t="s">
        <v>50</v>
      </c>
      <c r="B8" s="10" t="str">
        <f>'1. Entity Setup'!$C$28</f>
        <v>Yes</v>
      </c>
    </row>
    <row r="9" spans="1:4" ht="15" customHeight="1" x14ac:dyDescent="0.3">
      <c r="A9" s="11"/>
      <c r="B9" s="11"/>
    </row>
    <row r="10" spans="1:4" ht="18" customHeight="1" x14ac:dyDescent="0.3">
      <c r="A10" s="65" t="s">
        <v>51</v>
      </c>
      <c r="B10" s="64"/>
      <c r="C10" s="64"/>
      <c r="D10" s="64"/>
    </row>
    <row r="11" spans="1:4" ht="15" customHeight="1" x14ac:dyDescent="0.3">
      <c r="A11" s="9" t="s">
        <v>52</v>
      </c>
      <c r="B11" s="12">
        <f>INDEX('Province Rate Reference'!$C$5:$C$17,MATCH(B6,'Province Rate Reference'!$A$5:$A$17,0))</f>
        <v>0.11</v>
      </c>
    </row>
    <row r="12" spans="1:4" ht="15" customHeight="1" x14ac:dyDescent="0.3">
      <c r="A12" s="9" t="s">
        <v>53</v>
      </c>
      <c r="B12" s="12">
        <f>INDEX('Province Rate Reference'!$B$5:$B$17,MATCH(B6,'Province Rate Reference'!$A$5:$A$17,0))</f>
        <v>0.23</v>
      </c>
    </row>
    <row r="13" spans="1:4" ht="43.2" customHeight="1" x14ac:dyDescent="0.3">
      <c r="A13" s="9" t="s">
        <v>54</v>
      </c>
      <c r="B13" s="12">
        <f>B12+0.2367</f>
        <v>0.4667</v>
      </c>
      <c r="C13" s="13" t="s">
        <v>55</v>
      </c>
    </row>
    <row r="14" spans="1:4" ht="15" customHeight="1" x14ac:dyDescent="0.3">
      <c r="A14" s="11"/>
      <c r="B14" s="11"/>
    </row>
    <row r="15" spans="1:4" ht="18" customHeight="1" x14ac:dyDescent="0.3">
      <c r="A15" s="65" t="s">
        <v>56</v>
      </c>
      <c r="B15" s="64"/>
      <c r="C15" s="64"/>
      <c r="D15" s="64"/>
    </row>
    <row r="16" spans="1:4" ht="15" customHeight="1" x14ac:dyDescent="0.3">
      <c r="A16" s="9" t="s">
        <v>57</v>
      </c>
      <c r="B16" s="14">
        <f>'3. Income Statement'!B47</f>
        <v>190000</v>
      </c>
    </row>
    <row r="17" spans="1:4" ht="23.85" customHeight="1" x14ac:dyDescent="0.3">
      <c r="A17" s="15" t="s">
        <v>58</v>
      </c>
      <c r="B17" s="14">
        <f>'3. Income Statement'!B48</f>
        <v>55000</v>
      </c>
    </row>
    <row r="18" spans="1:4" ht="23.85" customHeight="1" x14ac:dyDescent="0.3">
      <c r="A18" s="15" t="s">
        <v>59</v>
      </c>
      <c r="B18" s="16">
        <f>MIN(500000,MAX(0,(B17-50000)*5))</f>
        <v>25000</v>
      </c>
    </row>
    <row r="19" spans="1:4" ht="23.85" customHeight="1" x14ac:dyDescent="0.3">
      <c r="A19" s="15" t="s">
        <v>60</v>
      </c>
      <c r="B19" s="14">
        <f>'7. Associated Corporations'!E10</f>
        <v>1565000</v>
      </c>
    </row>
    <row r="20" spans="1:4" ht="23.85" customHeight="1" x14ac:dyDescent="0.3">
      <c r="A20" s="15" t="s">
        <v>61</v>
      </c>
      <c r="B20" s="16">
        <f>MIN(500000,MAX(0,(B19-10000000)/40000000*500000))</f>
        <v>0</v>
      </c>
    </row>
    <row r="21" spans="1:4" ht="15" customHeight="1" x14ac:dyDescent="0.3">
      <c r="A21" s="17" t="s">
        <v>62</v>
      </c>
      <c r="B21" s="16">
        <f>MAX(0,500000-MAX(B18,B20))</f>
        <v>475000</v>
      </c>
    </row>
    <row r="22" spans="1:4" ht="32.85" customHeight="1" x14ac:dyDescent="0.3">
      <c r="A22" s="17" t="s">
        <v>63</v>
      </c>
      <c r="B22" s="16">
        <f>MIN(B21,IF('1. Entity Setup'!$C$28="Yes",IFERROR(VLOOKUP("Northern Peak Consulting Inc. (this entity)",'7. Associated Corporations'!A5:F9,6,FALSE()),500000),500000))</f>
        <v>350000</v>
      </c>
      <c r="C22" s="13" t="s">
        <v>64</v>
      </c>
    </row>
    <row r="23" spans="1:4" ht="15" customHeight="1" x14ac:dyDescent="0.3">
      <c r="A23" s="9" t="s">
        <v>65</v>
      </c>
      <c r="B23" s="16">
        <f>MIN(B16,B22)</f>
        <v>190000</v>
      </c>
    </row>
    <row r="24" spans="1:4" ht="15" customHeight="1" x14ac:dyDescent="0.3">
      <c r="A24" s="9" t="s">
        <v>66</v>
      </c>
      <c r="B24" s="16">
        <f>MAX(0,B16-B22)</f>
        <v>0</v>
      </c>
    </row>
    <row r="25" spans="1:4" ht="15" customHeight="1" x14ac:dyDescent="0.3">
      <c r="A25" s="17" t="s">
        <v>67</v>
      </c>
      <c r="B25" s="9" t="str">
        <f>IF(B18&gt;0,"GRINDING — AAII over $50,000","OK — under $50,000 threshold")</f>
        <v>GRINDING — AAII over $50,000</v>
      </c>
    </row>
    <row r="26" spans="1:4" ht="15" customHeight="1" x14ac:dyDescent="0.3">
      <c r="A26" s="11"/>
      <c r="B26" s="11"/>
    </row>
    <row r="27" spans="1:4" ht="18" customHeight="1" x14ac:dyDescent="0.3">
      <c r="A27" s="65" t="s">
        <v>68</v>
      </c>
      <c r="B27" s="64"/>
      <c r="C27" s="64"/>
      <c r="D27" s="64"/>
    </row>
    <row r="28" spans="1:4" ht="15" customHeight="1" x14ac:dyDescent="0.3">
      <c r="A28" s="9" t="s">
        <v>69</v>
      </c>
      <c r="B28" s="16">
        <f>B23*B11</f>
        <v>20900</v>
      </c>
    </row>
    <row r="29" spans="1:4" ht="15" customHeight="1" x14ac:dyDescent="0.3">
      <c r="A29" s="9" t="s">
        <v>70</v>
      </c>
      <c r="B29" s="16">
        <f>B24*B12</f>
        <v>0</v>
      </c>
    </row>
    <row r="30" spans="1:4" ht="15" customHeight="1" x14ac:dyDescent="0.3">
      <c r="A30" s="9" t="s">
        <v>71</v>
      </c>
      <c r="B30" s="16">
        <f>B17*B13</f>
        <v>25668.5</v>
      </c>
    </row>
    <row r="31" spans="1:4" ht="15" customHeight="1" x14ac:dyDescent="0.3">
      <c r="A31" s="18" t="s">
        <v>72</v>
      </c>
      <c r="B31" s="19">
        <f>B28+B29+B30</f>
        <v>46568.5</v>
      </c>
      <c r="C31" s="20"/>
      <c r="D31" s="20"/>
    </row>
    <row r="32" spans="1:4" ht="15" customHeight="1" x14ac:dyDescent="0.3">
      <c r="A32" s="9" t="s">
        <v>73</v>
      </c>
      <c r="B32" s="14">
        <f>'11. Instalments &amp; Compliance'!B20</f>
        <v>20250</v>
      </c>
    </row>
    <row r="33" spans="1:4" ht="15" customHeight="1" x14ac:dyDescent="0.3">
      <c r="A33" s="17" t="s">
        <v>74</v>
      </c>
      <c r="B33" s="21">
        <f>B31-B32</f>
        <v>26318.5</v>
      </c>
    </row>
    <row r="34" spans="1:4" ht="15" customHeight="1" x14ac:dyDescent="0.3">
      <c r="A34" s="9" t="s">
        <v>75</v>
      </c>
      <c r="B34" s="9" t="str">
        <f>IF(B31&gt;3000,"Yes","No")</f>
        <v>Yes</v>
      </c>
    </row>
    <row r="35" spans="1:4" ht="15" customHeight="1" x14ac:dyDescent="0.3">
      <c r="A35" s="11"/>
      <c r="B35" s="11"/>
    </row>
    <row r="36" spans="1:4" ht="18" customHeight="1" x14ac:dyDescent="0.3">
      <c r="A36" s="65" t="s">
        <v>76</v>
      </c>
      <c r="B36" s="64"/>
      <c r="C36" s="64"/>
      <c r="D36" s="64"/>
    </row>
    <row r="37" spans="1:4" ht="23.85" customHeight="1" x14ac:dyDescent="0.3">
      <c r="A37" s="15" t="s">
        <v>77</v>
      </c>
      <c r="B37" s="16">
        <f>B17*0.3067</f>
        <v>16868.5</v>
      </c>
    </row>
    <row r="38" spans="1:4" ht="15" customHeight="1" x14ac:dyDescent="0.3">
      <c r="A38" s="9" t="s">
        <v>78</v>
      </c>
      <c r="B38" s="14">
        <f>'5. Prior-Year Tax Attributes'!C6</f>
        <v>42300</v>
      </c>
    </row>
    <row r="39" spans="1:4" ht="15" customHeight="1" x14ac:dyDescent="0.3">
      <c r="A39" s="17" t="s">
        <v>79</v>
      </c>
      <c r="B39" s="16">
        <f>B38+B37</f>
        <v>59168.5</v>
      </c>
    </row>
    <row r="40" spans="1:4" ht="15" customHeight="1" x14ac:dyDescent="0.3">
      <c r="A40" s="9" t="s">
        <v>80</v>
      </c>
      <c r="B40" s="14">
        <f>'5. Prior-Year Tax Attributes'!C5</f>
        <v>18500</v>
      </c>
    </row>
    <row r="41" spans="1:4" ht="23.85" customHeight="1" x14ac:dyDescent="0.3">
      <c r="A41" s="15" t="s">
        <v>81</v>
      </c>
      <c r="B41" s="16">
        <f>B39/0.3833</f>
        <v>154366.0318288547</v>
      </c>
    </row>
    <row r="42" spans="1:4" ht="15" customHeight="1" x14ac:dyDescent="0.3">
      <c r="A42" s="9" t="s">
        <v>82</v>
      </c>
      <c r="B42" s="16">
        <f>B40/0.3833</f>
        <v>48265.066527524134</v>
      </c>
    </row>
    <row r="43" spans="1:4" ht="15" customHeight="1" x14ac:dyDescent="0.3">
      <c r="A43" s="9" t="s">
        <v>83</v>
      </c>
      <c r="B43" s="14">
        <f>'5. Prior-Year Tax Attributes'!C9</f>
        <v>65000</v>
      </c>
    </row>
    <row r="44" spans="1:4" ht="15" customHeight="1" x14ac:dyDescent="0.3">
      <c r="A44" s="17" t="s">
        <v>84</v>
      </c>
      <c r="B44" s="14">
        <f>'5. Prior-Year Tax Attributes'!C12</f>
        <v>22000</v>
      </c>
    </row>
    <row r="45" spans="1:4" ht="15" customHeight="1" x14ac:dyDescent="0.3">
      <c r="A45" s="17" t="s">
        <v>85</v>
      </c>
      <c r="B45" s="22" t="str">
        <f>IF(B44&gt;0,"CDA balance sitting idle — consider a capital dividend election","No CDA balance available")</f>
        <v>CDA balance sitting idle — consider a capital dividend election</v>
      </c>
    </row>
    <row r="46" spans="1:4" ht="15" customHeight="1" x14ac:dyDescent="0.3">
      <c r="A46" s="11"/>
      <c r="B46" s="11"/>
    </row>
    <row r="47" spans="1:4" ht="18" customHeight="1" x14ac:dyDescent="0.3">
      <c r="A47" s="65" t="s">
        <v>86</v>
      </c>
      <c r="B47" s="64"/>
      <c r="C47" s="64"/>
      <c r="D47" s="64"/>
    </row>
    <row r="48" spans="1:4" ht="15" customHeight="1" x14ac:dyDescent="0.3">
      <c r="A48" s="9" t="s">
        <v>87</v>
      </c>
      <c r="B48" s="14">
        <f>'9. Payroll Register'!C13</f>
        <v>600000</v>
      </c>
    </row>
    <row r="49" spans="1:4" ht="15" customHeight="1" x14ac:dyDescent="0.3">
      <c r="A49" s="9" t="s">
        <v>88</v>
      </c>
      <c r="B49" s="14">
        <f>'9. Payroll Register'!C18</f>
        <v>7343.8399999999983</v>
      </c>
    </row>
    <row r="50" spans="1:4" ht="15" customHeight="1" x14ac:dyDescent="0.3">
      <c r="A50" s="9" t="s">
        <v>89</v>
      </c>
      <c r="B50" s="23">
        <f>'10. GST-HST'!C28</f>
        <v>11900</v>
      </c>
    </row>
    <row r="51" spans="1:4" ht="23.85" customHeight="1" x14ac:dyDescent="0.3">
      <c r="A51" s="15" t="s">
        <v>90</v>
      </c>
      <c r="B51" s="14">
        <f>'6. CCA Continuity'!H13</f>
        <v>36900</v>
      </c>
    </row>
    <row r="52" spans="1:4" ht="15" customHeight="1" x14ac:dyDescent="0.3">
      <c r="A52" s="9" t="s">
        <v>91</v>
      </c>
      <c r="B52" s="14">
        <f>'12. Credits &amp; Incentives'!C9</f>
        <v>22750</v>
      </c>
    </row>
    <row r="53" spans="1:4" ht="15" customHeight="1" x14ac:dyDescent="0.3">
      <c r="A53" s="9" t="s">
        <v>92</v>
      </c>
      <c r="B53" s="14">
        <f>'12. Credits &amp; Incentives'!C14</f>
        <v>9750</v>
      </c>
    </row>
    <row r="54" spans="1:4" ht="15" customHeight="1" x14ac:dyDescent="0.3">
      <c r="A54" s="11"/>
      <c r="B54" s="11"/>
    </row>
    <row r="55" spans="1:4" ht="18" customHeight="1" x14ac:dyDescent="0.3">
      <c r="A55" s="65" t="s">
        <v>93</v>
      </c>
      <c r="B55" s="64"/>
      <c r="C55" s="64"/>
      <c r="D55" s="64"/>
    </row>
    <row r="56" spans="1:4" ht="15" customHeight="1" x14ac:dyDescent="0.3">
      <c r="A56" s="63"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64"/>
      <c r="C56" s="64"/>
      <c r="D56" s="64"/>
    </row>
    <row r="57" spans="1:4" ht="15" customHeight="1" x14ac:dyDescent="0.3">
      <c r="A57" s="63"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57" s="64"/>
      <c r="C57" s="64"/>
      <c r="D57" s="64"/>
    </row>
    <row r="58" spans="1:4" ht="15" customHeight="1" x14ac:dyDescent="0.3">
      <c r="A58" s="63" t="str">
        <f>IF(B44&gt;0,"• Unused Capital Dividend Account balance — a tax-free capital dividend may be available.","")</f>
        <v>• Unused Capital Dividend Account balance — a tax-free capital dividend may be available.</v>
      </c>
      <c r="B58" s="64"/>
      <c r="C58" s="64"/>
      <c r="D58" s="64"/>
    </row>
    <row r="59" spans="1:4" ht="22.35" customHeight="1" x14ac:dyDescent="0.3">
      <c r="A59" s="66" t="s">
        <v>94</v>
      </c>
      <c r="B59" s="64"/>
      <c r="C59" s="64"/>
      <c r="D59" s="64"/>
    </row>
  </sheetData>
  <mergeCells count="13">
    <mergeCell ref="A59:D59"/>
    <mergeCell ref="A57:D57"/>
    <mergeCell ref="A2:D2"/>
    <mergeCell ref="A10:D10"/>
    <mergeCell ref="A36:D36"/>
    <mergeCell ref="A47:D47"/>
    <mergeCell ref="A1:D1"/>
    <mergeCell ref="A56:D56"/>
    <mergeCell ref="A27:D27"/>
    <mergeCell ref="A58:D58"/>
    <mergeCell ref="A4:D4"/>
    <mergeCell ref="A55:D55"/>
    <mergeCell ref="A15:D1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60" t="s">
        <v>95</v>
      </c>
      <c r="B1" s="57"/>
      <c r="C1" s="57"/>
      <c r="D1" s="57"/>
    </row>
    <row r="3" spans="1:4" ht="18" customHeight="1" x14ac:dyDescent="0.3">
      <c r="A3" s="56" t="s">
        <v>96</v>
      </c>
      <c r="B3" s="57"/>
      <c r="C3" s="57"/>
      <c r="D3" s="57"/>
    </row>
    <row r="4" spans="1:4" ht="15" customHeight="1" x14ac:dyDescent="0.3">
      <c r="A4" s="58" t="s">
        <v>97</v>
      </c>
      <c r="B4" s="57"/>
      <c r="C4" s="24" t="s">
        <v>98</v>
      </c>
    </row>
    <row r="5" spans="1:4" ht="15" customHeight="1" x14ac:dyDescent="0.3">
      <c r="A5" s="58" t="s">
        <v>99</v>
      </c>
      <c r="B5" s="57"/>
      <c r="C5" s="24" t="s">
        <v>100</v>
      </c>
    </row>
    <row r="6" spans="1:4" ht="15" customHeight="1" x14ac:dyDescent="0.3">
      <c r="A6" s="58" t="s">
        <v>101</v>
      </c>
      <c r="B6" s="57"/>
      <c r="C6" s="24" t="s">
        <v>102</v>
      </c>
    </row>
    <row r="7" spans="1:4" ht="15" customHeight="1" x14ac:dyDescent="0.3">
      <c r="A7" s="58" t="s">
        <v>103</v>
      </c>
      <c r="B7" s="57"/>
      <c r="C7" s="24" t="s">
        <v>104</v>
      </c>
    </row>
    <row r="8" spans="1:4" ht="15" customHeight="1" x14ac:dyDescent="0.3">
      <c r="A8" s="58" t="s">
        <v>105</v>
      </c>
      <c r="B8" s="57"/>
      <c r="C8" s="24" t="s">
        <v>106</v>
      </c>
    </row>
    <row r="10" spans="1:4" ht="18" customHeight="1" x14ac:dyDescent="0.3">
      <c r="A10" s="56" t="s">
        <v>107</v>
      </c>
      <c r="B10" s="57"/>
      <c r="C10" s="57"/>
      <c r="D10" s="57"/>
    </row>
    <row r="11" spans="1:4" ht="15" customHeight="1" x14ac:dyDescent="0.3">
      <c r="A11" s="58" t="s">
        <v>108</v>
      </c>
      <c r="B11" s="57"/>
      <c r="C11" s="24" t="s">
        <v>109</v>
      </c>
    </row>
    <row r="12" spans="1:4" ht="15" customHeight="1" x14ac:dyDescent="0.3">
      <c r="A12" s="58" t="s">
        <v>110</v>
      </c>
      <c r="B12" s="57"/>
      <c r="C12" s="24" t="s">
        <v>109</v>
      </c>
      <c r="D12" s="1" t="s">
        <v>111</v>
      </c>
    </row>
    <row r="13" spans="1:4" ht="15" customHeight="1" x14ac:dyDescent="0.3">
      <c r="A13" s="58" t="s">
        <v>112</v>
      </c>
      <c r="B13" s="57"/>
      <c r="C13" s="24" t="s">
        <v>113</v>
      </c>
      <c r="D13" s="1" t="s">
        <v>114</v>
      </c>
    </row>
    <row r="15" spans="1:4" ht="18" customHeight="1" x14ac:dyDescent="0.3">
      <c r="A15" s="56" t="s">
        <v>115</v>
      </c>
      <c r="B15" s="57"/>
      <c r="C15" s="57"/>
      <c r="D15" s="57"/>
    </row>
    <row r="16" spans="1:4" ht="15" customHeight="1" x14ac:dyDescent="0.3">
      <c r="A16" s="58" t="s">
        <v>116</v>
      </c>
      <c r="B16" s="57"/>
      <c r="C16" s="24" t="s">
        <v>117</v>
      </c>
    </row>
    <row r="17" spans="1:4" ht="15" customHeight="1" x14ac:dyDescent="0.3">
      <c r="A17" s="58" t="s">
        <v>118</v>
      </c>
      <c r="B17" s="57"/>
      <c r="C17" s="24" t="s">
        <v>119</v>
      </c>
    </row>
    <row r="18" spans="1:4" ht="15" customHeight="1" x14ac:dyDescent="0.3">
      <c r="A18" s="58" t="s">
        <v>49</v>
      </c>
      <c r="B18" s="57"/>
      <c r="C18" s="24" t="s">
        <v>120</v>
      </c>
    </row>
    <row r="19" spans="1:4" ht="15" customHeight="1" x14ac:dyDescent="0.3">
      <c r="A19" s="58" t="s">
        <v>121</v>
      </c>
      <c r="B19" s="57"/>
      <c r="C19" s="24" t="s">
        <v>122</v>
      </c>
    </row>
    <row r="20" spans="1:4" ht="15" customHeight="1" x14ac:dyDescent="0.3">
      <c r="A20" s="58" t="s">
        <v>123</v>
      </c>
      <c r="B20" s="57"/>
      <c r="C20" s="24" t="s">
        <v>122</v>
      </c>
    </row>
    <row r="21" spans="1:4" ht="15" customHeight="1" x14ac:dyDescent="0.3">
      <c r="A21" s="58" t="s">
        <v>124</v>
      </c>
      <c r="B21" s="57"/>
      <c r="C21" s="24" t="s">
        <v>122</v>
      </c>
    </row>
    <row r="23" spans="1:4" ht="18" customHeight="1" x14ac:dyDescent="0.3">
      <c r="A23" s="56" t="s">
        <v>125</v>
      </c>
      <c r="B23" s="57"/>
      <c r="C23" s="57"/>
      <c r="D23" s="57"/>
    </row>
    <row r="24" spans="1:4" ht="15" customHeight="1" x14ac:dyDescent="0.3">
      <c r="A24" s="58" t="s">
        <v>126</v>
      </c>
      <c r="B24" s="57"/>
      <c r="C24" s="24" t="s">
        <v>113</v>
      </c>
      <c r="D24" s="1" t="s">
        <v>127</v>
      </c>
    </row>
    <row r="25" spans="1:4" ht="15" customHeight="1" x14ac:dyDescent="0.3">
      <c r="A25" s="58" t="s">
        <v>128</v>
      </c>
      <c r="B25" s="57"/>
      <c r="C25" s="24" t="s">
        <v>122</v>
      </c>
      <c r="D25" s="1" t="s">
        <v>129</v>
      </c>
    </row>
    <row r="27" spans="1:4" ht="18" customHeight="1" x14ac:dyDescent="0.3">
      <c r="A27" s="56" t="s">
        <v>130</v>
      </c>
      <c r="B27" s="57"/>
      <c r="C27" s="57"/>
      <c r="D27" s="57"/>
    </row>
    <row r="28" spans="1:4" ht="15" customHeight="1" x14ac:dyDescent="0.3">
      <c r="A28" s="58" t="s">
        <v>131</v>
      </c>
      <c r="B28" s="57"/>
      <c r="C28" s="24" t="s">
        <v>113</v>
      </c>
      <c r="D28" s="1" t="s">
        <v>132</v>
      </c>
    </row>
    <row r="29" spans="1:4" ht="15" customHeight="1" x14ac:dyDescent="0.3">
      <c r="A29" s="58" t="s">
        <v>133</v>
      </c>
      <c r="B29" s="57"/>
      <c r="C29" s="24">
        <v>3</v>
      </c>
    </row>
  </sheetData>
  <mergeCells count="24">
    <mergeCell ref="A27:D27"/>
    <mergeCell ref="A29:B29"/>
    <mergeCell ref="A19:B19"/>
    <mergeCell ref="A3:D3"/>
    <mergeCell ref="A28:B28"/>
    <mergeCell ref="A13:B13"/>
    <mergeCell ref="A25:B25"/>
    <mergeCell ref="A15:D15"/>
    <mergeCell ref="A18:B18"/>
    <mergeCell ref="A12:B12"/>
    <mergeCell ref="A1:D1"/>
    <mergeCell ref="A21:B21"/>
    <mergeCell ref="A5:B5"/>
    <mergeCell ref="A17:B17"/>
    <mergeCell ref="A8:B8"/>
    <mergeCell ref="A4:B4"/>
    <mergeCell ref="A20:B20"/>
    <mergeCell ref="A23:D23"/>
    <mergeCell ref="A24:B24"/>
    <mergeCell ref="A11:B11"/>
    <mergeCell ref="A10:D10"/>
    <mergeCell ref="A6:B6"/>
    <mergeCell ref="A16:B16"/>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60" t="s">
        <v>134</v>
      </c>
      <c r="B1" s="57"/>
      <c r="C1" s="57"/>
      <c r="D1" s="57"/>
      <c r="E1" s="57"/>
      <c r="F1" s="57"/>
      <c r="G1" s="57"/>
      <c r="H1" s="57"/>
    </row>
    <row r="2" spans="1:8" ht="22.35" customHeight="1" x14ac:dyDescent="0.3">
      <c r="A2" s="67" t="s">
        <v>135</v>
      </c>
      <c r="B2" s="57"/>
      <c r="C2" s="57"/>
      <c r="D2" s="57"/>
      <c r="E2" s="57"/>
      <c r="F2" s="57"/>
      <c r="G2" s="57"/>
      <c r="H2" s="57"/>
    </row>
    <row r="4" spans="1:8" ht="30" customHeight="1" x14ac:dyDescent="0.3">
      <c r="A4" s="2" t="s">
        <v>136</v>
      </c>
      <c r="B4" s="2" t="s">
        <v>137</v>
      </c>
      <c r="C4" s="2" t="s">
        <v>138</v>
      </c>
      <c r="D4" s="2" t="s">
        <v>139</v>
      </c>
      <c r="E4" s="2" t="s">
        <v>140</v>
      </c>
      <c r="F4" s="2" t="s">
        <v>141</v>
      </c>
      <c r="G4" s="2" t="s">
        <v>142</v>
      </c>
      <c r="H4" s="2" t="s">
        <v>143</v>
      </c>
    </row>
    <row r="5" spans="1:8" ht="15" customHeight="1" x14ac:dyDescent="0.3">
      <c r="A5" s="25" t="s">
        <v>144</v>
      </c>
      <c r="B5" s="26">
        <v>850000</v>
      </c>
      <c r="C5" s="26">
        <v>420000</v>
      </c>
      <c r="D5" s="12">
        <f>B5/SUM($B$5:$B$6)</f>
        <v>0.70833333333333337</v>
      </c>
      <c r="E5" s="12">
        <f>C5/SUM($C$5:$C$6)</f>
        <v>0.7</v>
      </c>
      <c r="F5" s="12">
        <f t="shared" ref="F5:F12" si="0">AVERAGE(D5:E5)</f>
        <v>0.70416666666666661</v>
      </c>
      <c r="G5" s="14">
        <f>F5*'3. Income Statement'!$B$49</f>
        <v>200687.49999999997</v>
      </c>
      <c r="H5" s="27" t="s">
        <v>145</v>
      </c>
    </row>
    <row r="6" spans="1:8" ht="15" customHeight="1" x14ac:dyDescent="0.3">
      <c r="A6" s="25" t="s">
        <v>146</v>
      </c>
      <c r="B6" s="26">
        <v>350000</v>
      </c>
      <c r="C6" s="26">
        <v>180000</v>
      </c>
      <c r="D6" s="12">
        <f>B6/SUM($B$5:$B$6)</f>
        <v>0.29166666666666669</v>
      </c>
      <c r="E6" s="12">
        <f>C6/SUM($C$5:$C$6)</f>
        <v>0.3</v>
      </c>
      <c r="F6" s="12">
        <f t="shared" si="0"/>
        <v>0.29583333333333334</v>
      </c>
      <c r="G6" s="14">
        <f>F6*'3. Income Statement'!$B$49</f>
        <v>84312.5</v>
      </c>
      <c r="H6" s="27" t="s">
        <v>147</v>
      </c>
    </row>
    <row r="7" spans="1:8" ht="15" customHeight="1" x14ac:dyDescent="0.3">
      <c r="A7" s="28"/>
      <c r="B7" s="29"/>
      <c r="C7" s="29"/>
      <c r="D7" s="12">
        <f t="shared" ref="D7:D12" si="1">IF(SUM($B$7:$B$12)=0,0,B7/SUM($B$7:$B$12))</f>
        <v>0</v>
      </c>
      <c r="E7" s="12">
        <f t="shared" ref="E7:E12" si="2">IF(SUM($C$7:$C$12)=0,0,C7/SUM($C$7:$C$12))</f>
        <v>0</v>
      </c>
      <c r="F7" s="12">
        <f t="shared" si="0"/>
        <v>0</v>
      </c>
      <c r="G7" s="16">
        <f>F7*'3. Income Statement'!$B$49</f>
        <v>0</v>
      </c>
      <c r="H7" s="28"/>
    </row>
    <row r="8" spans="1:8" ht="15" customHeight="1" x14ac:dyDescent="0.3">
      <c r="A8" s="28"/>
      <c r="B8" s="29"/>
      <c r="C8" s="29"/>
      <c r="D8" s="12">
        <f t="shared" si="1"/>
        <v>0</v>
      </c>
      <c r="E8" s="12">
        <f t="shared" si="2"/>
        <v>0</v>
      </c>
      <c r="F8" s="12">
        <f t="shared" si="0"/>
        <v>0</v>
      </c>
      <c r="G8" s="16">
        <f>F8*'3. Income Statement'!$B$49</f>
        <v>0</v>
      </c>
      <c r="H8" s="28"/>
    </row>
    <row r="9" spans="1:8" ht="15" customHeight="1" x14ac:dyDescent="0.3">
      <c r="A9" s="28"/>
      <c r="B9" s="29"/>
      <c r="C9" s="29"/>
      <c r="D9" s="12">
        <f t="shared" si="1"/>
        <v>0</v>
      </c>
      <c r="E9" s="12">
        <f t="shared" si="2"/>
        <v>0</v>
      </c>
      <c r="F9" s="12">
        <f t="shared" si="0"/>
        <v>0</v>
      </c>
      <c r="G9" s="16">
        <f>F9*'3. Income Statement'!$B$49</f>
        <v>0</v>
      </c>
      <c r="H9" s="28"/>
    </row>
    <row r="10" spans="1:8" ht="15" customHeight="1" x14ac:dyDescent="0.3">
      <c r="A10" s="28"/>
      <c r="B10" s="29"/>
      <c r="C10" s="29"/>
      <c r="D10" s="12">
        <f t="shared" si="1"/>
        <v>0</v>
      </c>
      <c r="E10" s="12">
        <f t="shared" si="2"/>
        <v>0</v>
      </c>
      <c r="F10" s="12">
        <f t="shared" si="0"/>
        <v>0</v>
      </c>
      <c r="G10" s="16">
        <f>F10*'3. Income Statement'!$B$49</f>
        <v>0</v>
      </c>
      <c r="H10" s="28"/>
    </row>
    <row r="11" spans="1:8" ht="15" customHeight="1" x14ac:dyDescent="0.3">
      <c r="A11" s="28"/>
      <c r="B11" s="29"/>
      <c r="C11" s="29"/>
      <c r="D11" s="12">
        <f t="shared" si="1"/>
        <v>0</v>
      </c>
      <c r="E11" s="12">
        <f t="shared" si="2"/>
        <v>0</v>
      </c>
      <c r="F11" s="12">
        <f t="shared" si="0"/>
        <v>0</v>
      </c>
      <c r="G11" s="16">
        <f>F11*'3. Income Statement'!$B$49</f>
        <v>0</v>
      </c>
      <c r="H11" s="28"/>
    </row>
    <row r="12" spans="1:8" ht="15" customHeight="1" x14ac:dyDescent="0.3">
      <c r="A12" s="28"/>
      <c r="B12" s="29"/>
      <c r="C12" s="29"/>
      <c r="D12" s="12">
        <f t="shared" si="1"/>
        <v>0</v>
      </c>
      <c r="E12" s="12">
        <f t="shared" si="2"/>
        <v>0</v>
      </c>
      <c r="F12" s="12">
        <f t="shared" si="0"/>
        <v>0</v>
      </c>
      <c r="G12" s="16">
        <f>F12*'3. Income Statement'!$B$49</f>
        <v>0</v>
      </c>
      <c r="H12" s="28"/>
    </row>
    <row r="14" spans="1:8" ht="15" customHeight="1" x14ac:dyDescent="0.3">
      <c r="A14" s="17" t="s">
        <v>148</v>
      </c>
      <c r="B14" s="16">
        <f>SUM(B5:B12)</f>
        <v>1200000</v>
      </c>
      <c r="C14" s="16">
        <f>SUM(C5:C12)</f>
        <v>600000</v>
      </c>
      <c r="D14" s="11"/>
      <c r="E14" s="11"/>
      <c r="F14" s="12">
        <f>SUM(F5:F12)</f>
        <v>1</v>
      </c>
      <c r="G14" s="11"/>
      <c r="H14" s="27" t="s">
        <v>149</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60" t="s">
        <v>150</v>
      </c>
      <c r="B1" s="57"/>
      <c r="C1" s="57"/>
      <c r="D1" s="57"/>
    </row>
    <row r="3" spans="1:4" ht="30" customHeight="1" x14ac:dyDescent="0.3">
      <c r="A3" s="2" t="s">
        <v>151</v>
      </c>
      <c r="B3" s="2" t="s">
        <v>152</v>
      </c>
      <c r="C3" s="2" t="s">
        <v>153</v>
      </c>
      <c r="D3" s="2" t="s">
        <v>143</v>
      </c>
    </row>
    <row r="4" spans="1:4" ht="18" customHeight="1" x14ac:dyDescent="0.3">
      <c r="A4" s="65" t="s">
        <v>154</v>
      </c>
      <c r="B4" s="64"/>
      <c r="C4" s="64"/>
      <c r="D4" s="64"/>
    </row>
    <row r="5" spans="1:4" ht="15" customHeight="1" x14ac:dyDescent="0.3">
      <c r="A5" s="25" t="s">
        <v>155</v>
      </c>
      <c r="B5" s="30">
        <v>850000</v>
      </c>
    </row>
    <row r="6" spans="1:4" ht="15" customHeight="1" x14ac:dyDescent="0.3">
      <c r="A6" s="25" t="s">
        <v>156</v>
      </c>
      <c r="B6" s="30">
        <v>350000</v>
      </c>
    </row>
    <row r="7" spans="1:4" ht="15" customHeight="1" x14ac:dyDescent="0.3">
      <c r="A7" s="68"/>
      <c r="B7" s="69"/>
    </row>
    <row r="8" spans="1:4" ht="15" customHeight="1" x14ac:dyDescent="0.3">
      <c r="A8" s="68"/>
      <c r="B8" s="69"/>
    </row>
    <row r="9" spans="1:4" ht="15" customHeight="1" x14ac:dyDescent="0.3">
      <c r="A9" s="17" t="s">
        <v>157</v>
      </c>
      <c r="B9" s="9">
        <f>SUM(B5:B8)</f>
        <v>1200000</v>
      </c>
    </row>
    <row r="10" spans="1:4" ht="15" customHeight="1" x14ac:dyDescent="0.3">
      <c r="A10" s="11"/>
      <c r="B10" s="11"/>
    </row>
    <row r="11" spans="1:4" ht="18" customHeight="1" x14ac:dyDescent="0.3">
      <c r="A11" s="65" t="s">
        <v>158</v>
      </c>
      <c r="B11" s="64"/>
      <c r="C11" s="64"/>
      <c r="D11" s="64"/>
    </row>
    <row r="12" spans="1:4" ht="15" customHeight="1" x14ac:dyDescent="0.3">
      <c r="A12" s="25" t="s">
        <v>159</v>
      </c>
      <c r="B12" s="30">
        <v>180000</v>
      </c>
    </row>
    <row r="13" spans="1:4" ht="15" customHeight="1" x14ac:dyDescent="0.3">
      <c r="A13" s="31"/>
      <c r="B13" s="28"/>
    </row>
    <row r="14" spans="1:4" ht="15" customHeight="1" x14ac:dyDescent="0.3">
      <c r="A14" s="17" t="s">
        <v>160</v>
      </c>
      <c r="B14" s="9">
        <f>SUM(B12:B13)</f>
        <v>180000</v>
      </c>
    </row>
    <row r="15" spans="1:4" ht="15" customHeight="1" x14ac:dyDescent="0.3">
      <c r="A15" s="17" t="s">
        <v>161</v>
      </c>
      <c r="B15" s="9">
        <f>B9-B14</f>
        <v>1020000</v>
      </c>
    </row>
    <row r="16" spans="1:4" ht="15" customHeight="1" x14ac:dyDescent="0.3">
      <c r="A16" s="11"/>
      <c r="B16" s="11"/>
    </row>
    <row r="17" spans="1:4" ht="18" customHeight="1" x14ac:dyDescent="0.3">
      <c r="A17" s="65" t="s">
        <v>162</v>
      </c>
      <c r="B17" s="64"/>
      <c r="C17" s="64"/>
      <c r="D17" s="64"/>
    </row>
    <row r="18" spans="1:4" ht="15" customHeight="1" x14ac:dyDescent="0.3">
      <c r="A18" s="25" t="s">
        <v>163</v>
      </c>
      <c r="B18" s="30">
        <v>600000</v>
      </c>
    </row>
    <row r="19" spans="1:4" ht="15" customHeight="1" x14ac:dyDescent="0.3">
      <c r="A19" s="25" t="s">
        <v>164</v>
      </c>
      <c r="B19" s="30">
        <v>60000</v>
      </c>
    </row>
    <row r="20" spans="1:4" ht="15" customHeight="1" x14ac:dyDescent="0.3">
      <c r="A20" s="25" t="s">
        <v>165</v>
      </c>
      <c r="B20" s="30">
        <v>25000</v>
      </c>
    </row>
    <row r="21" spans="1:4" ht="22.35" customHeight="1" x14ac:dyDescent="0.3">
      <c r="A21" s="25" t="s">
        <v>166</v>
      </c>
      <c r="B21" s="30">
        <v>8000</v>
      </c>
      <c r="D21" s="13" t="s">
        <v>167</v>
      </c>
    </row>
    <row r="22" spans="1:4" ht="15" customHeight="1" x14ac:dyDescent="0.3">
      <c r="A22" s="25" t="s">
        <v>168</v>
      </c>
      <c r="B22" s="30">
        <v>15000</v>
      </c>
    </row>
    <row r="23" spans="1:4" ht="15" customHeight="1" x14ac:dyDescent="0.3">
      <c r="A23" s="25" t="s">
        <v>169</v>
      </c>
      <c r="B23" s="30">
        <v>10000</v>
      </c>
    </row>
    <row r="24" spans="1:4" ht="22.35" customHeight="1" x14ac:dyDescent="0.3">
      <c r="A24" s="25" t="s">
        <v>170</v>
      </c>
      <c r="B24" s="30">
        <v>45000</v>
      </c>
      <c r="D24" s="13" t="s">
        <v>171</v>
      </c>
    </row>
    <row r="25" spans="1:4" ht="15" customHeight="1" x14ac:dyDescent="0.3">
      <c r="A25" s="25" t="s">
        <v>172</v>
      </c>
      <c r="B25" s="30">
        <v>30000</v>
      </c>
    </row>
    <row r="26" spans="1:4" ht="15" customHeight="1" x14ac:dyDescent="0.3">
      <c r="A26" s="25" t="s">
        <v>173</v>
      </c>
      <c r="B26" s="30">
        <v>20000</v>
      </c>
    </row>
    <row r="27" spans="1:4" ht="15" customHeight="1" x14ac:dyDescent="0.3">
      <c r="A27" s="25" t="s">
        <v>174</v>
      </c>
      <c r="B27" s="30">
        <v>12000</v>
      </c>
    </row>
    <row r="28" spans="1:4" ht="15" customHeight="1" x14ac:dyDescent="0.3">
      <c r="A28" s="25" t="s">
        <v>175</v>
      </c>
      <c r="B28" s="30">
        <v>5000</v>
      </c>
    </row>
    <row r="29" spans="1:4" ht="15" customHeight="1" x14ac:dyDescent="0.3">
      <c r="A29" s="31"/>
      <c r="B29" s="28"/>
    </row>
    <row r="30" spans="1:4" ht="15" customHeight="1" x14ac:dyDescent="0.3">
      <c r="A30" s="31"/>
      <c r="B30" s="28"/>
    </row>
    <row r="31" spans="1:4" ht="15" customHeight="1" x14ac:dyDescent="0.3">
      <c r="A31" s="17" t="s">
        <v>176</v>
      </c>
      <c r="B31" s="9">
        <f>SUM(B18:B30)</f>
        <v>830000</v>
      </c>
    </row>
    <row r="32" spans="1:4" ht="15" customHeight="1" x14ac:dyDescent="0.3">
      <c r="A32" s="17" t="s">
        <v>177</v>
      </c>
      <c r="B32" s="9">
        <f>B15-B31</f>
        <v>190000</v>
      </c>
    </row>
    <row r="33" spans="1:4" ht="15" customHeight="1" x14ac:dyDescent="0.3">
      <c r="A33" s="11"/>
      <c r="B33" s="11"/>
    </row>
    <row r="34" spans="1:4" ht="18" customHeight="1" x14ac:dyDescent="0.3">
      <c r="A34" s="65" t="s">
        <v>178</v>
      </c>
      <c r="B34" s="64"/>
      <c r="C34" s="64"/>
      <c r="D34" s="64"/>
    </row>
    <row r="35" spans="1:4" ht="15" customHeight="1" x14ac:dyDescent="0.3">
      <c r="A35" s="32" t="s">
        <v>179</v>
      </c>
      <c r="B35" s="30">
        <v>12000</v>
      </c>
      <c r="C35" s="5" t="s">
        <v>180</v>
      </c>
    </row>
    <row r="36" spans="1:4" ht="35.1" customHeight="1" x14ac:dyDescent="0.3">
      <c r="A36" s="32" t="s">
        <v>181</v>
      </c>
      <c r="B36" s="30">
        <v>40000</v>
      </c>
      <c r="C36" s="5" t="s">
        <v>182</v>
      </c>
      <c r="D36" s="13" t="s">
        <v>183</v>
      </c>
    </row>
    <row r="37" spans="1:4" ht="23.85" customHeight="1" x14ac:dyDescent="0.3">
      <c r="A37" s="32" t="s">
        <v>184</v>
      </c>
      <c r="B37" s="30">
        <v>15000</v>
      </c>
      <c r="C37" s="5" t="s">
        <v>180</v>
      </c>
      <c r="D37" s="13" t="s">
        <v>185</v>
      </c>
    </row>
    <row r="38" spans="1:4" ht="23.85" customHeight="1" x14ac:dyDescent="0.3">
      <c r="A38" s="32" t="s">
        <v>186</v>
      </c>
      <c r="B38" s="30">
        <v>20000</v>
      </c>
      <c r="C38" s="5" t="s">
        <v>180</v>
      </c>
      <c r="D38" s="13" t="s">
        <v>187</v>
      </c>
    </row>
    <row r="39" spans="1:4" ht="32.85" customHeight="1" x14ac:dyDescent="0.3">
      <c r="A39" s="32" t="s">
        <v>188</v>
      </c>
      <c r="B39" s="30">
        <v>8000</v>
      </c>
      <c r="C39" s="5" t="s">
        <v>180</v>
      </c>
      <c r="D39" s="13" t="s">
        <v>189</v>
      </c>
    </row>
    <row r="40" spans="1:4" ht="15" customHeight="1" x14ac:dyDescent="0.3">
      <c r="A40" s="32" t="s">
        <v>190</v>
      </c>
      <c r="B40" s="30">
        <v>0</v>
      </c>
      <c r="C40" s="5" t="s">
        <v>191</v>
      </c>
    </row>
    <row r="41" spans="1:4" ht="15" customHeight="1" x14ac:dyDescent="0.3">
      <c r="A41" s="31"/>
      <c r="B41" s="28"/>
      <c r="C41" s="28"/>
    </row>
    <row r="42" spans="1:4" ht="15" customHeight="1" x14ac:dyDescent="0.3">
      <c r="A42" s="31"/>
      <c r="B42" s="28"/>
      <c r="C42" s="28"/>
    </row>
    <row r="43" spans="1:4" ht="15" customHeight="1" x14ac:dyDescent="0.3">
      <c r="A43" s="17" t="s">
        <v>192</v>
      </c>
      <c r="B43" s="9">
        <f>SUM(B35:B42)</f>
        <v>95000</v>
      </c>
    </row>
    <row r="44" spans="1:4" ht="15" customHeight="1" x14ac:dyDescent="0.3">
      <c r="A44" s="18" t="s">
        <v>193</v>
      </c>
      <c r="B44" s="18">
        <f>B32+B43</f>
        <v>285000</v>
      </c>
      <c r="C44" s="20"/>
      <c r="D44" s="20"/>
    </row>
    <row r="45" spans="1:4" ht="15" customHeight="1" x14ac:dyDescent="0.3">
      <c r="A45" s="11"/>
      <c r="B45" s="11"/>
    </row>
    <row r="46" spans="1:4" ht="18" customHeight="1" x14ac:dyDescent="0.3">
      <c r="A46" s="65" t="s">
        <v>194</v>
      </c>
      <c r="B46" s="64"/>
      <c r="C46" s="64"/>
      <c r="D46" s="64"/>
    </row>
    <row r="47" spans="1:4" ht="15" customHeight="1" x14ac:dyDescent="0.3">
      <c r="A47" s="17" t="s">
        <v>195</v>
      </c>
      <c r="B47" s="9">
        <f>B32</f>
        <v>190000</v>
      </c>
    </row>
    <row r="48" spans="1:4" ht="15" customHeight="1" x14ac:dyDescent="0.3">
      <c r="A48" s="17" t="s">
        <v>196</v>
      </c>
      <c r="B48" s="9">
        <f>SUMIF(C35:C42,"Aggregate Investment Income",B35:B42)</f>
        <v>55000</v>
      </c>
    </row>
    <row r="49" spans="1:4" ht="15" customHeight="1" x14ac:dyDescent="0.3">
      <c r="A49" s="17" t="s">
        <v>197</v>
      </c>
      <c r="B49" s="9">
        <f>B44</f>
        <v>285000</v>
      </c>
    </row>
    <row r="51" spans="1:4" x14ac:dyDescent="0.3">
      <c r="A51" s="8" t="s">
        <v>198</v>
      </c>
      <c r="B51" s="55"/>
      <c r="C51" s="55"/>
      <c r="D51" s="55"/>
    </row>
    <row r="52" spans="1:4" x14ac:dyDescent="0.3">
      <c r="A52" s="17" t="s">
        <v>199</v>
      </c>
      <c r="B52" s="30"/>
      <c r="D52" t="s">
        <v>200</v>
      </c>
    </row>
    <row r="53" spans="1:4" x14ac:dyDescent="0.3">
      <c r="A53" s="17" t="s">
        <v>201</v>
      </c>
      <c r="B53" s="30"/>
      <c r="D53" t="s">
        <v>202</v>
      </c>
    </row>
    <row r="54" spans="1:4" x14ac:dyDescent="0.3">
      <c r="A54" s="17" t="s">
        <v>203</v>
      </c>
      <c r="B54" s="30"/>
      <c r="D54" t="s">
        <v>204</v>
      </c>
    </row>
    <row r="55" spans="1:4" x14ac:dyDescent="0.3">
      <c r="A55" s="17" t="s">
        <v>205</v>
      </c>
      <c r="B55" s="30"/>
      <c r="D55" t="s">
        <v>206</v>
      </c>
    </row>
    <row r="56" spans="1:4" x14ac:dyDescent="0.3">
      <c r="A56" s="17" t="s">
        <v>207</v>
      </c>
      <c r="B56" s="30"/>
      <c r="D56" t="s">
        <v>208</v>
      </c>
    </row>
    <row r="57" spans="1:4" x14ac:dyDescent="0.3">
      <c r="A57" s="17" t="s">
        <v>209</v>
      </c>
      <c r="B57" s="30"/>
      <c r="D57" t="s">
        <v>210</v>
      </c>
    </row>
    <row r="58" spans="1:4" x14ac:dyDescent="0.3">
      <c r="A58" s="17" t="s">
        <v>211</v>
      </c>
      <c r="B58" s="30"/>
      <c r="D58" t="s">
        <v>212</v>
      </c>
    </row>
    <row r="59" spans="1:4" x14ac:dyDescent="0.3">
      <c r="A59" s="17" t="s">
        <v>213</v>
      </c>
      <c r="B59" s="30"/>
      <c r="D59" t="s">
        <v>214</v>
      </c>
    </row>
    <row r="60" spans="1:4" x14ac:dyDescent="0.3">
      <c r="A60" s="17" t="s">
        <v>215</v>
      </c>
      <c r="B60" s="30"/>
      <c r="D60" t="s">
        <v>216</v>
      </c>
    </row>
    <row r="62" spans="1:4" x14ac:dyDescent="0.3">
      <c r="A62" s="8" t="s">
        <v>217</v>
      </c>
      <c r="B62" s="55"/>
      <c r="C62" s="55"/>
      <c r="D62" s="55"/>
    </row>
    <row r="63" spans="1:4" x14ac:dyDescent="0.3">
      <c r="A63" s="17" t="s">
        <v>218</v>
      </c>
      <c r="B63" s="30"/>
      <c r="D63" t="s">
        <v>219</v>
      </c>
    </row>
    <row r="64" spans="1:4" x14ac:dyDescent="0.3">
      <c r="A64" s="17" t="s">
        <v>220</v>
      </c>
      <c r="B64" s="30"/>
      <c r="D64" t="s">
        <v>221</v>
      </c>
    </row>
    <row r="65" spans="1:4" x14ac:dyDescent="0.3">
      <c r="A65" s="17" t="s">
        <v>222</v>
      </c>
      <c r="B65" s="30"/>
      <c r="D65" t="s">
        <v>223</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60" t="s">
        <v>224</v>
      </c>
      <c r="B1" s="57"/>
      <c r="C1" s="57"/>
      <c r="D1" s="57"/>
    </row>
    <row r="3" spans="1:4" ht="30" customHeight="1" x14ac:dyDescent="0.3">
      <c r="A3" s="2" t="s">
        <v>151</v>
      </c>
      <c r="B3" s="2" t="s">
        <v>152</v>
      </c>
      <c r="C3" s="2"/>
      <c r="D3" s="2" t="s">
        <v>143</v>
      </c>
    </row>
    <row r="4" spans="1:4" ht="18" customHeight="1" x14ac:dyDescent="0.3">
      <c r="A4" s="65" t="s">
        <v>225</v>
      </c>
      <c r="B4" s="64"/>
      <c r="C4" s="64"/>
      <c r="D4" s="64"/>
    </row>
    <row r="5" spans="1:4" ht="15" customHeight="1" x14ac:dyDescent="0.3">
      <c r="A5" s="25" t="s">
        <v>226</v>
      </c>
      <c r="B5" s="26">
        <v>145000</v>
      </c>
    </row>
    <row r="6" spans="1:4" ht="15" customHeight="1" x14ac:dyDescent="0.3">
      <c r="A6" s="25" t="s">
        <v>227</v>
      </c>
      <c r="B6" s="26">
        <v>210000</v>
      </c>
    </row>
    <row r="7" spans="1:4" ht="15" customHeight="1" x14ac:dyDescent="0.3">
      <c r="A7" s="25" t="s">
        <v>228</v>
      </c>
      <c r="B7" s="26">
        <v>0</v>
      </c>
    </row>
    <row r="8" spans="1:4" ht="15" customHeight="1" x14ac:dyDescent="0.3">
      <c r="A8" s="25" t="s">
        <v>229</v>
      </c>
      <c r="B8" s="26">
        <v>15000</v>
      </c>
    </row>
    <row r="9" spans="1:4" ht="32.85" customHeight="1" x14ac:dyDescent="0.3">
      <c r="A9" s="25" t="s">
        <v>230</v>
      </c>
      <c r="B9" s="26">
        <v>380000</v>
      </c>
      <c r="D9" s="13" t="s">
        <v>231</v>
      </c>
    </row>
    <row r="10" spans="1:4" ht="32.85" customHeight="1" x14ac:dyDescent="0.3">
      <c r="A10" s="25" t="s">
        <v>232</v>
      </c>
      <c r="B10" s="26">
        <v>260000</v>
      </c>
      <c r="D10" s="13" t="s">
        <v>233</v>
      </c>
    </row>
    <row r="11" spans="1:4" ht="15" customHeight="1" x14ac:dyDescent="0.3">
      <c r="A11" s="25" t="s">
        <v>234</v>
      </c>
      <c r="B11" s="26">
        <v>100000</v>
      </c>
      <c r="D11" s="13" t="s">
        <v>235</v>
      </c>
    </row>
    <row r="12" spans="1:4" ht="15" customHeight="1" x14ac:dyDescent="0.3">
      <c r="A12" s="25" t="s">
        <v>236</v>
      </c>
      <c r="B12" s="26">
        <v>35000</v>
      </c>
      <c r="D12" s="13" t="s">
        <v>237</v>
      </c>
    </row>
    <row r="13" spans="1:4" ht="15" customHeight="1" x14ac:dyDescent="0.3">
      <c r="A13" s="31"/>
      <c r="B13" s="29"/>
    </row>
    <row r="14" spans="1:4" ht="15" customHeight="1" x14ac:dyDescent="0.3">
      <c r="A14" s="31"/>
      <c r="B14" s="29"/>
    </row>
    <row r="15" spans="1:4" ht="15" customHeight="1" x14ac:dyDescent="0.3">
      <c r="A15" s="17" t="s">
        <v>238</v>
      </c>
      <c r="B15" s="16">
        <f>SUM(B5:B14)</f>
        <v>1145000</v>
      </c>
    </row>
    <row r="16" spans="1:4" ht="15" customHeight="1" x14ac:dyDescent="0.3">
      <c r="A16" s="11"/>
      <c r="B16" s="33"/>
    </row>
    <row r="17" spans="1:4" ht="18" customHeight="1" x14ac:dyDescent="0.3">
      <c r="A17" s="65" t="s">
        <v>239</v>
      </c>
      <c r="B17" s="64"/>
      <c r="C17" s="64"/>
      <c r="D17" s="64"/>
    </row>
    <row r="18" spans="1:4" ht="15" customHeight="1" x14ac:dyDescent="0.3">
      <c r="A18" s="25" t="s">
        <v>240</v>
      </c>
      <c r="B18" s="26">
        <v>95000</v>
      </c>
    </row>
    <row r="19" spans="1:4" ht="15" customHeight="1" x14ac:dyDescent="0.3">
      <c r="A19" s="25" t="s">
        <v>241</v>
      </c>
      <c r="B19" s="26">
        <v>12000</v>
      </c>
      <c r="D19" s="13" t="s">
        <v>242</v>
      </c>
    </row>
    <row r="20" spans="1:4" ht="15" customHeight="1" x14ac:dyDescent="0.3">
      <c r="A20" s="25" t="s">
        <v>243</v>
      </c>
      <c r="B20" s="26">
        <v>40000</v>
      </c>
    </row>
    <row r="21" spans="1:4" ht="32.85" customHeight="1" x14ac:dyDescent="0.3">
      <c r="A21" s="25" t="s">
        <v>244</v>
      </c>
      <c r="B21" s="26">
        <v>25000</v>
      </c>
      <c r="D21" s="13" t="s">
        <v>245</v>
      </c>
    </row>
    <row r="22" spans="1:4" ht="15" customHeight="1" x14ac:dyDescent="0.3">
      <c r="A22" s="25" t="s">
        <v>246</v>
      </c>
      <c r="B22" s="26">
        <v>30000</v>
      </c>
    </row>
    <row r="23" spans="1:4" ht="15" customHeight="1" x14ac:dyDescent="0.3">
      <c r="A23" s="25" t="s">
        <v>247</v>
      </c>
      <c r="B23" s="26">
        <v>150000</v>
      </c>
    </row>
    <row r="24" spans="1:4" ht="15" customHeight="1" x14ac:dyDescent="0.3">
      <c r="A24" s="25" t="s">
        <v>248</v>
      </c>
      <c r="B24" s="26">
        <v>20000</v>
      </c>
    </row>
    <row r="25" spans="1:4" ht="15" customHeight="1" x14ac:dyDescent="0.3">
      <c r="A25" s="31"/>
      <c r="B25" s="29"/>
    </row>
    <row r="26" spans="1:4" ht="15" customHeight="1" x14ac:dyDescent="0.3">
      <c r="A26" s="31"/>
      <c r="B26" s="29"/>
    </row>
    <row r="27" spans="1:4" ht="15" customHeight="1" x14ac:dyDescent="0.3">
      <c r="A27" s="17" t="s">
        <v>249</v>
      </c>
      <c r="B27" s="16">
        <f>SUM(B18:B26)</f>
        <v>372000</v>
      </c>
    </row>
    <row r="28" spans="1:4" ht="15" customHeight="1" x14ac:dyDescent="0.3">
      <c r="A28" s="11"/>
      <c r="B28" s="33"/>
    </row>
    <row r="29" spans="1:4" ht="18" customHeight="1" x14ac:dyDescent="0.3">
      <c r="A29" s="65" t="s">
        <v>250</v>
      </c>
      <c r="B29" s="64"/>
      <c r="C29" s="64"/>
      <c r="D29" s="64"/>
    </row>
    <row r="30" spans="1:4" ht="15" customHeight="1" x14ac:dyDescent="0.3">
      <c r="A30" s="25" t="s">
        <v>251</v>
      </c>
      <c r="B30" s="26">
        <v>100</v>
      </c>
    </row>
    <row r="31" spans="1:4" ht="15" customHeight="1" x14ac:dyDescent="0.3">
      <c r="A31" s="25" t="s">
        <v>252</v>
      </c>
      <c r="B31" s="26">
        <v>90000</v>
      </c>
    </row>
    <row r="32" spans="1:4" ht="15" customHeight="1" x14ac:dyDescent="0.3">
      <c r="A32" s="25" t="s">
        <v>253</v>
      </c>
      <c r="B32" s="26">
        <v>397900</v>
      </c>
    </row>
    <row r="33" spans="1:4" ht="15" customHeight="1" x14ac:dyDescent="0.3">
      <c r="A33" s="25" t="s">
        <v>254</v>
      </c>
      <c r="B33" s="14">
        <f>'3. Income Statement'!B49</f>
        <v>285000</v>
      </c>
    </row>
    <row r="34" spans="1:4" ht="15" customHeight="1" x14ac:dyDescent="0.3">
      <c r="A34" s="17" t="s">
        <v>255</v>
      </c>
      <c r="B34" s="16">
        <f>SUM(B30:B33)</f>
        <v>773000</v>
      </c>
    </row>
    <row r="35" spans="1:4" ht="15" customHeight="1" x14ac:dyDescent="0.3">
      <c r="A35" s="11"/>
      <c r="B35" s="33"/>
    </row>
    <row r="36" spans="1:4" ht="15" customHeight="1" x14ac:dyDescent="0.3">
      <c r="A36" s="17" t="s">
        <v>256</v>
      </c>
      <c r="B36" s="16">
        <f>B27+B34</f>
        <v>1145000</v>
      </c>
    </row>
    <row r="37" spans="1:4" ht="15" customHeight="1" x14ac:dyDescent="0.3">
      <c r="A37" s="17" t="s">
        <v>257</v>
      </c>
      <c r="B37" s="16">
        <f>B15-(B27+B34)</f>
        <v>0</v>
      </c>
    </row>
    <row r="38" spans="1:4" ht="15" customHeight="1" x14ac:dyDescent="0.3">
      <c r="A38" s="11"/>
      <c r="B38" s="33"/>
    </row>
    <row r="39" spans="1:4" ht="18" customHeight="1" x14ac:dyDescent="0.3">
      <c r="A39" s="65" t="s">
        <v>258</v>
      </c>
      <c r="B39" s="64"/>
      <c r="C39" s="64"/>
      <c r="D39" s="64"/>
    </row>
    <row r="40" spans="1:4" ht="64.2" customHeight="1" x14ac:dyDescent="0.3">
      <c r="A40" s="27" t="s">
        <v>259</v>
      </c>
      <c r="B40" s="33"/>
      <c r="D40" s="13" t="s">
        <v>260</v>
      </c>
    </row>
    <row r="41" spans="1:4" ht="43.2" customHeight="1" x14ac:dyDescent="0.3">
      <c r="A41" s="17" t="s">
        <v>261</v>
      </c>
      <c r="B41" s="16">
        <f>B15</f>
        <v>1145000</v>
      </c>
      <c r="D41" s="13" t="s">
        <v>262</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60" t="s">
        <v>263</v>
      </c>
      <c r="B1" s="57"/>
      <c r="C1" s="57"/>
      <c r="D1" s="57"/>
    </row>
    <row r="2" spans="1:4" ht="22.35" customHeight="1" x14ac:dyDescent="0.3">
      <c r="A2" s="59" t="s">
        <v>264</v>
      </c>
      <c r="B2" s="57"/>
      <c r="C2" s="57"/>
      <c r="D2" s="57"/>
    </row>
    <row r="4" spans="1:4" ht="18" customHeight="1" x14ac:dyDescent="0.3">
      <c r="A4" s="65" t="s">
        <v>265</v>
      </c>
      <c r="B4" s="64"/>
      <c r="C4" s="64"/>
      <c r="D4" s="64"/>
    </row>
    <row r="5" spans="1:4" ht="15" customHeight="1" x14ac:dyDescent="0.3">
      <c r="A5" s="70" t="s">
        <v>266</v>
      </c>
      <c r="B5" s="69"/>
      <c r="C5" s="34">
        <v>18500</v>
      </c>
      <c r="D5" s="1" t="s">
        <v>267</v>
      </c>
    </row>
    <row r="6" spans="1:4" ht="15" customHeight="1" x14ac:dyDescent="0.3">
      <c r="A6" s="70" t="s">
        <v>78</v>
      </c>
      <c r="B6" s="69"/>
      <c r="C6" s="34">
        <v>42300</v>
      </c>
      <c r="D6" s="1" t="s">
        <v>268</v>
      </c>
    </row>
    <row r="7" spans="1:4" ht="15" customHeight="1" x14ac:dyDescent="0.3">
      <c r="A7" s="11"/>
      <c r="B7" s="11"/>
      <c r="C7" s="11"/>
    </row>
    <row r="8" spans="1:4" ht="18" customHeight="1" x14ac:dyDescent="0.3">
      <c r="A8" s="65" t="s">
        <v>269</v>
      </c>
      <c r="B8" s="64"/>
      <c r="C8" s="64"/>
      <c r="D8" s="64"/>
    </row>
    <row r="9" spans="1:4" ht="15" customHeight="1" x14ac:dyDescent="0.3">
      <c r="A9" s="70" t="s">
        <v>270</v>
      </c>
      <c r="B9" s="69"/>
      <c r="C9" s="34">
        <v>65000</v>
      </c>
      <c r="D9" s="1" t="s">
        <v>271</v>
      </c>
    </row>
    <row r="10" spans="1:4" ht="15" customHeight="1" x14ac:dyDescent="0.3">
      <c r="A10" s="11"/>
      <c r="B10" s="11"/>
      <c r="C10" s="11"/>
    </row>
    <row r="11" spans="1:4" ht="18" customHeight="1" x14ac:dyDescent="0.3">
      <c r="A11" s="65" t="s">
        <v>272</v>
      </c>
      <c r="B11" s="64"/>
      <c r="C11" s="64"/>
      <c r="D11" s="64"/>
    </row>
    <row r="12" spans="1:4" ht="15" customHeight="1" x14ac:dyDescent="0.3">
      <c r="A12" s="70" t="s">
        <v>273</v>
      </c>
      <c r="B12" s="69"/>
      <c r="C12" s="34">
        <v>22000</v>
      </c>
      <c r="D12" s="1" t="s">
        <v>274</v>
      </c>
    </row>
    <row r="13" spans="1:4" ht="15" customHeight="1" x14ac:dyDescent="0.3">
      <c r="A13" s="11"/>
      <c r="B13" s="11"/>
      <c r="C13" s="11"/>
    </row>
    <row r="14" spans="1:4" ht="18" customHeight="1" x14ac:dyDescent="0.3">
      <c r="A14" s="65" t="s">
        <v>275</v>
      </c>
      <c r="B14" s="64"/>
      <c r="C14" s="64"/>
      <c r="D14" s="64"/>
    </row>
    <row r="15" spans="1:4" ht="30" customHeight="1" x14ac:dyDescent="0.3">
      <c r="A15" s="2" t="s">
        <v>276</v>
      </c>
      <c r="B15" s="2" t="s">
        <v>152</v>
      </c>
      <c r="C15" s="2" t="s">
        <v>277</v>
      </c>
      <c r="D15" s="2" t="s">
        <v>143</v>
      </c>
    </row>
    <row r="16" spans="1:4" ht="15" customHeight="1" x14ac:dyDescent="0.3">
      <c r="A16" s="25">
        <v>2022</v>
      </c>
      <c r="B16" s="30">
        <v>15000</v>
      </c>
      <c r="C16" s="9">
        <f>A16+20</f>
        <v>2042</v>
      </c>
    </row>
    <row r="17" spans="1:4" ht="15" customHeight="1" x14ac:dyDescent="0.3">
      <c r="A17" s="28"/>
      <c r="B17" s="28"/>
      <c r="C17" s="9">
        <f>IF(A17=0,0,A17+20)</f>
        <v>0</v>
      </c>
    </row>
    <row r="18" spans="1:4" ht="15" customHeight="1" x14ac:dyDescent="0.3">
      <c r="A18" s="28"/>
      <c r="B18" s="28"/>
      <c r="C18" s="9">
        <f>IF(A18=0,0,A18+20)</f>
        <v>0</v>
      </c>
    </row>
    <row r="19" spans="1:4" ht="15" customHeight="1" x14ac:dyDescent="0.3">
      <c r="A19" s="28"/>
      <c r="B19" s="28"/>
      <c r="C19" s="9">
        <f>IF(A19=0,0,A19+20)</f>
        <v>0</v>
      </c>
    </row>
    <row r="20" spans="1:4" ht="15" customHeight="1" x14ac:dyDescent="0.3">
      <c r="A20" s="11"/>
      <c r="B20" s="11"/>
      <c r="C20" s="11"/>
    </row>
    <row r="21" spans="1:4" ht="18" customHeight="1" x14ac:dyDescent="0.3">
      <c r="A21" s="65" t="s">
        <v>278</v>
      </c>
      <c r="B21" s="64"/>
      <c r="C21" s="64"/>
      <c r="D21" s="64"/>
    </row>
    <row r="22" spans="1:4" ht="30" customHeight="1" x14ac:dyDescent="0.3">
      <c r="A22" s="2" t="s">
        <v>276</v>
      </c>
      <c r="B22" s="2" t="s">
        <v>152</v>
      </c>
      <c r="C22" s="2"/>
      <c r="D22" s="2" t="s">
        <v>143</v>
      </c>
    </row>
    <row r="23" spans="1:4" ht="15" customHeight="1" x14ac:dyDescent="0.3">
      <c r="A23" s="28"/>
      <c r="B23" s="28"/>
      <c r="C23" s="11"/>
    </row>
    <row r="24" spans="1:4" ht="15" customHeight="1" x14ac:dyDescent="0.3">
      <c r="A24" s="28"/>
      <c r="B24" s="28"/>
      <c r="C24" s="11"/>
    </row>
    <row r="25" spans="1:4" ht="15" customHeight="1" x14ac:dyDescent="0.3">
      <c r="A25" s="11"/>
      <c r="B25" s="11"/>
      <c r="C25" s="11"/>
    </row>
    <row r="26" spans="1:4" ht="18" customHeight="1" x14ac:dyDescent="0.3">
      <c r="A26" s="65" t="s">
        <v>279</v>
      </c>
      <c r="B26" s="64"/>
      <c r="C26" s="64"/>
      <c r="D26" s="64"/>
    </row>
    <row r="27" spans="1:4" ht="15" customHeight="1" x14ac:dyDescent="0.3">
      <c r="A27" s="70" t="s">
        <v>280</v>
      </c>
      <c r="B27" s="69"/>
      <c r="C27" s="34">
        <v>0</v>
      </c>
      <c r="D27" s="1" t="s">
        <v>281</v>
      </c>
    </row>
    <row r="28" spans="1:4" ht="15" customHeight="1" x14ac:dyDescent="0.3">
      <c r="A28" s="70" t="s">
        <v>282</v>
      </c>
      <c r="B28" s="69"/>
      <c r="C28" s="34">
        <v>0</v>
      </c>
    </row>
    <row r="30" spans="1:4" x14ac:dyDescent="0.3">
      <c r="A30" s="9" t="s">
        <v>283</v>
      </c>
      <c r="C30" s="34"/>
      <c r="D30" s="1" t="s">
        <v>284</v>
      </c>
    </row>
  </sheetData>
  <mergeCells count="14">
    <mergeCell ref="A28:B28"/>
    <mergeCell ref="A2:D2"/>
    <mergeCell ref="A11:D11"/>
    <mergeCell ref="A9:B9"/>
    <mergeCell ref="A27:B27"/>
    <mergeCell ref="A6:B6"/>
    <mergeCell ref="A14:D14"/>
    <mergeCell ref="A12:B12"/>
    <mergeCell ref="A1:D1"/>
    <mergeCell ref="A8:D8"/>
    <mergeCell ref="A4:D4"/>
    <mergeCell ref="A26:D26"/>
    <mergeCell ref="A21:D21"/>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60" t="s">
        <v>285</v>
      </c>
      <c r="B1" s="57"/>
      <c r="C1" s="57"/>
      <c r="D1" s="57"/>
      <c r="E1" s="57"/>
      <c r="F1" s="57"/>
      <c r="G1" s="57"/>
      <c r="H1" s="57"/>
      <c r="I1" s="57"/>
      <c r="J1" s="57"/>
    </row>
    <row r="3" spans="1:10" ht="30" customHeight="1" x14ac:dyDescent="0.3">
      <c r="A3" s="2" t="s">
        <v>286</v>
      </c>
      <c r="B3" s="2" t="s">
        <v>287</v>
      </c>
      <c r="C3" s="2" t="s">
        <v>288</v>
      </c>
      <c r="D3" s="2" t="s">
        <v>289</v>
      </c>
      <c r="E3" s="2" t="s">
        <v>290</v>
      </c>
      <c r="F3" s="2" t="s">
        <v>291</v>
      </c>
      <c r="G3" s="2" t="s">
        <v>292</v>
      </c>
      <c r="H3" s="2" t="s">
        <v>293</v>
      </c>
      <c r="I3" s="2" t="s">
        <v>294</v>
      </c>
      <c r="J3" s="2" t="s">
        <v>143</v>
      </c>
    </row>
    <row r="4" spans="1:10" ht="22.35" customHeight="1" x14ac:dyDescent="0.3">
      <c r="A4" s="35" t="s">
        <v>295</v>
      </c>
      <c r="B4" s="5">
        <v>180000</v>
      </c>
      <c r="C4" s="5">
        <v>0</v>
      </c>
      <c r="D4" s="5" t="s">
        <v>122</v>
      </c>
      <c r="E4" s="5">
        <v>0</v>
      </c>
      <c r="F4" s="4">
        <f t="shared" ref="F4:F12" si="0">B4+C4-E4-IF(D4="Yes",0,C4*0.5)</f>
        <v>180000</v>
      </c>
      <c r="G4" s="36">
        <v>0.04</v>
      </c>
      <c r="H4" s="4">
        <f t="shared" ref="H4:H12" si="1">MIN(F4*G4, B4+C4-E4)</f>
        <v>7200</v>
      </c>
      <c r="I4" s="4">
        <f t="shared" ref="I4:I12" si="2">B4+C4-E4-H4</f>
        <v>172800</v>
      </c>
      <c r="J4" s="13" t="s">
        <v>296</v>
      </c>
    </row>
    <row r="5" spans="1:10" ht="15" customHeight="1" x14ac:dyDescent="0.3">
      <c r="A5" s="35" t="s">
        <v>297</v>
      </c>
      <c r="B5" s="5">
        <v>45000</v>
      </c>
      <c r="C5" s="5">
        <v>12000</v>
      </c>
      <c r="D5" s="5" t="s">
        <v>122</v>
      </c>
      <c r="E5" s="5">
        <v>0</v>
      </c>
      <c r="F5" s="4">
        <f t="shared" si="0"/>
        <v>51000</v>
      </c>
      <c r="G5" s="36">
        <v>0.2</v>
      </c>
      <c r="H5" s="4">
        <f t="shared" si="1"/>
        <v>10200</v>
      </c>
      <c r="I5" s="4">
        <f t="shared" si="2"/>
        <v>46800</v>
      </c>
      <c r="J5" s="13" t="s">
        <v>298</v>
      </c>
    </row>
    <row r="6" spans="1:10" ht="15" customHeight="1" x14ac:dyDescent="0.3">
      <c r="A6" s="35" t="s">
        <v>299</v>
      </c>
      <c r="B6" s="5">
        <v>22000</v>
      </c>
      <c r="C6" s="5">
        <v>0</v>
      </c>
      <c r="D6" s="5" t="s">
        <v>122</v>
      </c>
      <c r="E6" s="5">
        <v>0</v>
      </c>
      <c r="F6" s="4">
        <f t="shared" si="0"/>
        <v>22000</v>
      </c>
      <c r="G6" s="36">
        <v>0.3</v>
      </c>
      <c r="H6" s="4">
        <f t="shared" si="1"/>
        <v>6600</v>
      </c>
      <c r="I6" s="4">
        <f t="shared" si="2"/>
        <v>15400</v>
      </c>
      <c r="J6" s="13"/>
    </row>
    <row r="7" spans="1:10" ht="32.85" customHeight="1" x14ac:dyDescent="0.3">
      <c r="A7" s="35" t="s">
        <v>300</v>
      </c>
      <c r="B7" s="5">
        <v>8000</v>
      </c>
      <c r="C7" s="5">
        <v>15000</v>
      </c>
      <c r="D7" s="5" t="s">
        <v>113</v>
      </c>
      <c r="E7" s="5">
        <v>0</v>
      </c>
      <c r="F7" s="4">
        <f t="shared" si="0"/>
        <v>23000</v>
      </c>
      <c r="G7" s="36">
        <v>0.55000000000000004</v>
      </c>
      <c r="H7" s="4">
        <f t="shared" si="1"/>
        <v>12650.000000000002</v>
      </c>
      <c r="I7" s="4">
        <f t="shared" si="2"/>
        <v>10349.999999999998</v>
      </c>
      <c r="J7" s="13" t="s">
        <v>301</v>
      </c>
    </row>
    <row r="8" spans="1:10" ht="15" customHeight="1" x14ac:dyDescent="0.3">
      <c r="A8" s="35" t="s">
        <v>302</v>
      </c>
      <c r="B8" s="5">
        <v>5000</v>
      </c>
      <c r="C8" s="5">
        <v>0</v>
      </c>
      <c r="D8" s="5" t="s">
        <v>122</v>
      </c>
      <c r="E8" s="5">
        <v>0</v>
      </c>
      <c r="F8" s="4">
        <f t="shared" si="0"/>
        <v>5000</v>
      </c>
      <c r="G8" s="36">
        <v>0.05</v>
      </c>
      <c r="H8" s="4">
        <f t="shared" si="1"/>
        <v>250</v>
      </c>
      <c r="I8" s="4">
        <f t="shared" si="2"/>
        <v>4750</v>
      </c>
      <c r="J8" s="13" t="s">
        <v>303</v>
      </c>
    </row>
    <row r="9" spans="1:10" ht="15" customHeight="1" x14ac:dyDescent="0.3">
      <c r="A9" s="28"/>
      <c r="B9" s="29"/>
      <c r="C9" s="29"/>
      <c r="D9" s="28"/>
      <c r="E9" s="29"/>
      <c r="F9" s="16">
        <f t="shared" si="0"/>
        <v>0</v>
      </c>
      <c r="G9" s="37"/>
      <c r="H9" s="16">
        <f t="shared" si="1"/>
        <v>0</v>
      </c>
      <c r="I9" s="16">
        <f t="shared" si="2"/>
        <v>0</v>
      </c>
      <c r="J9" s="28"/>
    </row>
    <row r="10" spans="1:10" ht="15" customHeight="1" x14ac:dyDescent="0.3">
      <c r="A10" s="28"/>
      <c r="B10" s="29"/>
      <c r="C10" s="29"/>
      <c r="D10" s="28"/>
      <c r="E10" s="29"/>
      <c r="F10" s="16">
        <f t="shared" si="0"/>
        <v>0</v>
      </c>
      <c r="G10" s="37"/>
      <c r="H10" s="16">
        <f t="shared" si="1"/>
        <v>0</v>
      </c>
      <c r="I10" s="16">
        <f t="shared" si="2"/>
        <v>0</v>
      </c>
      <c r="J10" s="28"/>
    </row>
    <row r="11" spans="1:10" ht="15" customHeight="1" x14ac:dyDescent="0.3">
      <c r="A11" s="28"/>
      <c r="B11" s="29"/>
      <c r="C11" s="29"/>
      <c r="D11" s="28"/>
      <c r="E11" s="29"/>
      <c r="F11" s="16">
        <f t="shared" si="0"/>
        <v>0</v>
      </c>
      <c r="G11" s="37"/>
      <c r="H11" s="16">
        <f t="shared" si="1"/>
        <v>0</v>
      </c>
      <c r="I11" s="16">
        <f t="shared" si="2"/>
        <v>0</v>
      </c>
      <c r="J11" s="28"/>
    </row>
    <row r="12" spans="1:10" ht="15" customHeight="1" x14ac:dyDescent="0.3">
      <c r="A12" s="28"/>
      <c r="B12" s="29"/>
      <c r="C12" s="29"/>
      <c r="D12" s="28"/>
      <c r="E12" s="29"/>
      <c r="F12" s="16">
        <f t="shared" si="0"/>
        <v>0</v>
      </c>
      <c r="G12" s="37"/>
      <c r="H12" s="16">
        <f t="shared" si="1"/>
        <v>0</v>
      </c>
      <c r="I12" s="16">
        <f t="shared" si="2"/>
        <v>0</v>
      </c>
      <c r="J12" s="28"/>
    </row>
    <row r="13" spans="1:10" ht="15" customHeight="1" x14ac:dyDescent="0.3">
      <c r="A13" s="17" t="s">
        <v>148</v>
      </c>
      <c r="B13" s="16">
        <f>SUM(B4:B12)</f>
        <v>260000</v>
      </c>
      <c r="C13" s="16">
        <f>SUM(C4:C12)</f>
        <v>27000</v>
      </c>
      <c r="D13" s="11"/>
      <c r="E13" s="16">
        <f>SUM(E4:E12)</f>
        <v>0</v>
      </c>
      <c r="F13" s="11"/>
      <c r="G13" s="11"/>
      <c r="H13" s="16">
        <f>SUM(H4:H12)</f>
        <v>36900</v>
      </c>
      <c r="I13" s="16">
        <f>SUM(I4:I12)</f>
        <v>250100</v>
      </c>
      <c r="J13" s="11"/>
    </row>
    <row r="15" spans="1:10" ht="15" customHeight="1" x14ac:dyDescent="0.3">
      <c r="A15" s="67" t="s">
        <v>304</v>
      </c>
      <c r="B15" s="57"/>
      <c r="C15" s="57"/>
      <c r="D15" s="57"/>
      <c r="E15" s="57"/>
      <c r="F15" s="57"/>
      <c r="G15" s="57"/>
      <c r="H15" s="57"/>
      <c r="I15" s="57"/>
      <c r="J15" s="57"/>
    </row>
    <row r="16" spans="1:10" ht="15" customHeight="1" x14ac:dyDescent="0.3">
      <c r="A16" s="57"/>
      <c r="B16" s="57"/>
      <c r="C16" s="57"/>
      <c r="D16" s="57"/>
      <c r="E16" s="57"/>
      <c r="F16" s="57"/>
      <c r="G16" s="57"/>
      <c r="H16" s="57"/>
      <c r="I16" s="57"/>
      <c r="J16" s="57"/>
    </row>
    <row r="17" spans="1:10" ht="15" customHeight="1" x14ac:dyDescent="0.3">
      <c r="A17" s="57"/>
      <c r="B17" s="57"/>
      <c r="C17" s="57"/>
      <c r="D17" s="57"/>
      <c r="E17" s="57"/>
      <c r="F17" s="57"/>
      <c r="G17" s="57"/>
      <c r="H17" s="57"/>
      <c r="I17" s="57"/>
      <c r="J17" s="57"/>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60" t="s">
        <v>305</v>
      </c>
      <c r="B1" s="57"/>
      <c r="C1" s="57"/>
      <c r="D1" s="57"/>
      <c r="E1" s="57"/>
      <c r="F1" s="57"/>
      <c r="G1" s="57"/>
    </row>
    <row r="2" spans="1:7" ht="22.35" customHeight="1" x14ac:dyDescent="0.3">
      <c r="A2" s="59" t="s">
        <v>306</v>
      </c>
      <c r="B2" s="57"/>
      <c r="C2" s="57"/>
      <c r="D2" s="57"/>
      <c r="E2" s="57"/>
      <c r="F2" s="57"/>
      <c r="G2" s="57"/>
    </row>
    <row r="4" spans="1:7" ht="30" customHeight="1" x14ac:dyDescent="0.3">
      <c r="A4" s="2" t="s">
        <v>307</v>
      </c>
      <c r="B4" s="2" t="s">
        <v>308</v>
      </c>
      <c r="C4" s="2" t="s">
        <v>309</v>
      </c>
      <c r="D4" s="2" t="s">
        <v>310</v>
      </c>
      <c r="E4" s="2" t="s">
        <v>311</v>
      </c>
      <c r="F4" s="2" t="s">
        <v>312</v>
      </c>
      <c r="G4" s="2" t="s">
        <v>143</v>
      </c>
    </row>
    <row r="5" spans="1:7" ht="15" customHeight="1" x14ac:dyDescent="0.3">
      <c r="A5" s="25" t="s">
        <v>313</v>
      </c>
      <c r="B5" s="30" t="s">
        <v>314</v>
      </c>
      <c r="C5" s="38">
        <v>1</v>
      </c>
      <c r="D5" s="10">
        <f>'3. Income Statement'!B47</f>
        <v>190000</v>
      </c>
      <c r="E5" s="14">
        <f>'4. Balance Sheet'!B41</f>
        <v>1145000</v>
      </c>
      <c r="F5" s="30">
        <v>350000</v>
      </c>
      <c r="G5" s="27" t="s">
        <v>315</v>
      </c>
    </row>
    <row r="6" spans="1:7" ht="32.85" customHeight="1" x14ac:dyDescent="0.3">
      <c r="A6" s="25" t="s">
        <v>316</v>
      </c>
      <c r="B6" s="30" t="s">
        <v>317</v>
      </c>
      <c r="C6" s="38">
        <v>1</v>
      </c>
      <c r="D6" s="30">
        <v>60000</v>
      </c>
      <c r="E6" s="30">
        <v>420000</v>
      </c>
      <c r="F6" s="30">
        <v>150000</v>
      </c>
      <c r="G6" s="39" t="s">
        <v>318</v>
      </c>
    </row>
    <row r="7" spans="1:7" ht="15" customHeight="1" x14ac:dyDescent="0.3">
      <c r="A7" s="28"/>
      <c r="B7" s="28"/>
      <c r="C7" s="37"/>
      <c r="D7" s="29"/>
      <c r="E7" s="29"/>
      <c r="F7" s="29"/>
      <c r="G7" s="28"/>
    </row>
    <row r="8" spans="1:7" ht="15" customHeight="1" x14ac:dyDescent="0.3">
      <c r="A8" s="28"/>
      <c r="B8" s="28"/>
      <c r="C8" s="37"/>
      <c r="D8" s="29"/>
      <c r="E8" s="29"/>
      <c r="F8" s="29"/>
      <c r="G8" s="28"/>
    </row>
    <row r="9" spans="1:7" ht="15" customHeight="1" x14ac:dyDescent="0.3">
      <c r="A9" s="28"/>
      <c r="B9" s="28"/>
      <c r="C9" s="37"/>
      <c r="D9" s="29"/>
      <c r="E9" s="29"/>
      <c r="F9" s="29"/>
      <c r="G9" s="28"/>
    </row>
    <row r="10" spans="1:7" ht="15" customHeight="1" x14ac:dyDescent="0.3">
      <c r="A10" s="17" t="s">
        <v>148</v>
      </c>
      <c r="B10" s="11"/>
      <c r="C10" s="11"/>
      <c r="D10" s="16">
        <f>SUM(D5:D9)</f>
        <v>250000</v>
      </c>
      <c r="E10" s="16">
        <f>SUM(E5:E9)</f>
        <v>1565000</v>
      </c>
      <c r="F10" s="16">
        <f>SUM(F5:F9)</f>
        <v>500000</v>
      </c>
      <c r="G10" s="11"/>
    </row>
    <row r="11" spans="1:7" ht="15" customHeight="1" x14ac:dyDescent="0.3">
      <c r="A11" s="27" t="s">
        <v>319</v>
      </c>
      <c r="B11" s="11"/>
      <c r="C11" s="11"/>
      <c r="D11" s="11"/>
      <c r="E11" s="11"/>
      <c r="F11" s="40">
        <f>F10-500000</f>
        <v>0</v>
      </c>
      <c r="G11" s="11"/>
    </row>
    <row r="12" spans="1:7" ht="15" customHeight="1" x14ac:dyDescent="0.3">
      <c r="A12" s="11"/>
      <c r="B12" s="11"/>
      <c r="C12" s="11"/>
      <c r="D12" s="11"/>
      <c r="E12" s="11"/>
      <c r="F12" s="11"/>
      <c r="G12" s="11"/>
    </row>
    <row r="13" spans="1:7" ht="15" customHeight="1" x14ac:dyDescent="0.3">
      <c r="A13" s="70" t="s">
        <v>320</v>
      </c>
      <c r="B13" s="69"/>
      <c r="C13" s="24" t="s">
        <v>113</v>
      </c>
      <c r="D13" s="11"/>
      <c r="E13" s="11"/>
      <c r="F13" s="11"/>
      <c r="G13" s="11"/>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60" t="s">
        <v>321</v>
      </c>
      <c r="B1" s="57"/>
      <c r="C1" s="57"/>
      <c r="D1" s="57"/>
      <c r="E1" s="57"/>
      <c r="F1" s="57"/>
      <c r="G1" s="57"/>
      <c r="H1" s="57"/>
      <c r="I1" s="57"/>
      <c r="J1" s="57"/>
      <c r="K1" s="57"/>
    </row>
    <row r="3" spans="1:11" ht="30" customHeight="1" x14ac:dyDescent="0.3">
      <c r="A3" s="2" t="s">
        <v>322</v>
      </c>
      <c r="B3" s="2" t="s">
        <v>323</v>
      </c>
      <c r="C3" s="2" t="s">
        <v>324</v>
      </c>
      <c r="D3" s="2" t="s">
        <v>325</v>
      </c>
      <c r="E3" s="2" t="s">
        <v>326</v>
      </c>
      <c r="F3" s="2" t="s">
        <v>327</v>
      </c>
      <c r="G3" s="2" t="s">
        <v>328</v>
      </c>
      <c r="H3" s="2" t="s">
        <v>329</v>
      </c>
      <c r="I3" s="2" t="s">
        <v>330</v>
      </c>
      <c r="J3" s="2" t="s">
        <v>331</v>
      </c>
      <c r="K3" s="2" t="s">
        <v>143</v>
      </c>
    </row>
    <row r="4" spans="1:11" ht="23.85" customHeight="1" x14ac:dyDescent="0.3">
      <c r="A4" s="25" t="s">
        <v>332</v>
      </c>
      <c r="B4" s="30" t="s">
        <v>314</v>
      </c>
      <c r="C4" s="30" t="s">
        <v>333</v>
      </c>
      <c r="D4" s="38">
        <v>0.6</v>
      </c>
      <c r="E4" s="38">
        <v>0.6</v>
      </c>
      <c r="F4" s="30">
        <v>44</v>
      </c>
      <c r="G4" s="30">
        <v>45</v>
      </c>
      <c r="H4" s="30">
        <v>8</v>
      </c>
      <c r="I4" s="30" t="s">
        <v>334</v>
      </c>
      <c r="J4" s="26">
        <v>0</v>
      </c>
      <c r="K4" s="32" t="s">
        <v>335</v>
      </c>
    </row>
    <row r="5" spans="1:11" ht="57.45" customHeight="1" x14ac:dyDescent="0.3">
      <c r="A5" s="25" t="s">
        <v>336</v>
      </c>
      <c r="B5" s="30" t="s">
        <v>337</v>
      </c>
      <c r="C5" s="30" t="s">
        <v>338</v>
      </c>
      <c r="D5" s="38">
        <v>0.1</v>
      </c>
      <c r="E5" s="38">
        <v>0.1</v>
      </c>
      <c r="F5" s="30">
        <v>42</v>
      </c>
      <c r="G5" s="30">
        <v>5</v>
      </c>
      <c r="H5" s="30">
        <v>3</v>
      </c>
      <c r="I5" s="22" t="s">
        <v>339</v>
      </c>
      <c r="J5" s="26">
        <v>95000</v>
      </c>
      <c r="K5" s="32" t="s">
        <v>340</v>
      </c>
    </row>
    <row r="6" spans="1:11" ht="46.2" customHeight="1" x14ac:dyDescent="0.3">
      <c r="A6" s="25" t="s">
        <v>341</v>
      </c>
      <c r="B6" s="30" t="s">
        <v>342</v>
      </c>
      <c r="C6" s="30" t="s">
        <v>343</v>
      </c>
      <c r="D6" s="38">
        <v>0</v>
      </c>
      <c r="E6" s="38">
        <v>0.3</v>
      </c>
      <c r="F6" s="30"/>
      <c r="G6" s="30">
        <v>0</v>
      </c>
      <c r="H6" s="30">
        <v>0</v>
      </c>
      <c r="I6" s="30" t="s">
        <v>344</v>
      </c>
      <c r="J6" s="26">
        <v>0</v>
      </c>
      <c r="K6" s="32" t="s">
        <v>345</v>
      </c>
    </row>
    <row r="7" spans="1:11" ht="15" customHeight="1" x14ac:dyDescent="0.3">
      <c r="A7" s="28"/>
      <c r="B7" s="28"/>
      <c r="C7" s="28"/>
      <c r="D7" s="37"/>
      <c r="E7" s="37"/>
      <c r="F7" s="28"/>
      <c r="G7" s="28"/>
      <c r="H7" s="28"/>
      <c r="I7" s="28"/>
      <c r="J7" s="29"/>
      <c r="K7" s="28"/>
    </row>
    <row r="8" spans="1:11" ht="15" customHeight="1" x14ac:dyDescent="0.3">
      <c r="A8" s="28"/>
      <c r="B8" s="28"/>
      <c r="C8" s="28"/>
      <c r="D8" s="37"/>
      <c r="E8" s="37"/>
      <c r="F8" s="28"/>
      <c r="G8" s="28"/>
      <c r="H8" s="28"/>
      <c r="I8" s="28"/>
      <c r="J8" s="29"/>
      <c r="K8" s="28"/>
    </row>
    <row r="9" spans="1:11" ht="15" customHeight="1" x14ac:dyDescent="0.3">
      <c r="A9" s="28"/>
      <c r="B9" s="28"/>
      <c r="C9" s="28"/>
      <c r="D9" s="37"/>
      <c r="E9" s="37"/>
      <c r="F9" s="28"/>
      <c r="G9" s="28"/>
      <c r="H9" s="28"/>
      <c r="I9" s="28"/>
      <c r="J9" s="29"/>
      <c r="K9" s="28"/>
    </row>
    <row r="10" spans="1:11" ht="15" customHeight="1" x14ac:dyDescent="0.3">
      <c r="A10" s="28"/>
      <c r="B10" s="28"/>
      <c r="C10" s="28"/>
      <c r="D10" s="37"/>
      <c r="E10" s="37"/>
      <c r="F10" s="28"/>
      <c r="G10" s="28"/>
      <c r="H10" s="28"/>
      <c r="I10" s="28"/>
      <c r="J10" s="29"/>
      <c r="K10" s="28"/>
    </row>
    <row r="11" spans="1:11" ht="53.7" customHeight="1" x14ac:dyDescent="0.3">
      <c r="A11" s="17" t="s">
        <v>148</v>
      </c>
      <c r="B11" s="11"/>
      <c r="C11" s="11"/>
      <c r="D11" s="41">
        <f>SUM(D4:D10)</f>
        <v>0.7</v>
      </c>
      <c r="E11" s="41">
        <f>SUM(E4:E10)</f>
        <v>1</v>
      </c>
      <c r="F11" s="11"/>
      <c r="G11" s="11"/>
      <c r="H11" s="11"/>
      <c r="I11" s="9" t="str">
        <f>COUNTIF(I4:I10,"Not Excluded - TOSI Risk")&amp;" shareholder(s) flagged for TOSI risk"</f>
        <v>1 shareholder(s) flagged for TOSI risk</v>
      </c>
      <c r="J11" s="11"/>
      <c r="K11" s="39" t="s">
        <v>346</v>
      </c>
    </row>
    <row r="12" spans="1:11" ht="15" customHeight="1" x14ac:dyDescent="0.3">
      <c r="A12" s="11"/>
      <c r="B12" s="11"/>
      <c r="C12" s="11"/>
      <c r="D12" s="11"/>
      <c r="E12" s="11"/>
      <c r="F12" s="11"/>
      <c r="G12" s="11"/>
      <c r="H12" s="11"/>
      <c r="I12" s="11"/>
      <c r="J12" s="11"/>
      <c r="K12" s="11"/>
    </row>
    <row r="13" spans="1:11" ht="18" customHeight="1" x14ac:dyDescent="0.3">
      <c r="A13" s="71" t="s">
        <v>347</v>
      </c>
      <c r="B13" s="64"/>
      <c r="C13" s="64"/>
      <c r="D13" s="64"/>
      <c r="E13" s="64"/>
      <c r="F13" s="64"/>
      <c r="G13" s="64"/>
      <c r="H13" s="64"/>
      <c r="I13" s="64"/>
      <c r="J13" s="64"/>
      <c r="K13" s="69"/>
    </row>
    <row r="14" spans="1:11" ht="30" customHeight="1" x14ac:dyDescent="0.3">
      <c r="A14" s="2" t="s">
        <v>322</v>
      </c>
      <c r="B14" s="2" t="s">
        <v>348</v>
      </c>
      <c r="C14" s="2" t="s">
        <v>349</v>
      </c>
      <c r="D14" s="2" t="s">
        <v>350</v>
      </c>
      <c r="E14" s="2"/>
      <c r="F14" s="2"/>
      <c r="G14" s="2"/>
      <c r="H14" s="2"/>
      <c r="I14" s="2"/>
      <c r="J14" s="2"/>
      <c r="K14" s="2" t="s">
        <v>351</v>
      </c>
    </row>
    <row r="15" spans="1:11" ht="15" customHeight="1" x14ac:dyDescent="0.3">
      <c r="A15" s="25" t="s">
        <v>336</v>
      </c>
      <c r="B15" s="26">
        <v>25000</v>
      </c>
      <c r="C15" s="30" t="s">
        <v>352</v>
      </c>
      <c r="D15" s="30" t="s">
        <v>113</v>
      </c>
      <c r="E15" s="11"/>
      <c r="F15" s="11"/>
      <c r="G15" s="11"/>
      <c r="H15" s="11"/>
      <c r="I15" s="11"/>
      <c r="J15" s="11"/>
      <c r="K15" s="22" t="s">
        <v>353</v>
      </c>
    </row>
    <row r="16" spans="1:11" ht="15" customHeight="1" x14ac:dyDescent="0.3">
      <c r="A16" s="28"/>
      <c r="B16" s="29"/>
      <c r="C16" s="28"/>
      <c r="D16" s="28"/>
      <c r="E16" s="11"/>
      <c r="F16" s="11"/>
      <c r="G16" s="11"/>
      <c r="H16" s="11"/>
      <c r="I16" s="11"/>
      <c r="J16" s="11"/>
      <c r="K16" s="28"/>
    </row>
    <row r="17" spans="1:11" ht="15" customHeight="1" x14ac:dyDescent="0.3">
      <c r="A17" s="28"/>
      <c r="B17" s="29"/>
      <c r="C17" s="28"/>
      <c r="D17" s="28"/>
      <c r="E17" s="11"/>
      <c r="F17" s="11"/>
      <c r="G17" s="11"/>
      <c r="H17" s="11"/>
      <c r="I17" s="11"/>
      <c r="J17" s="11"/>
      <c r="K17" s="28"/>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60" t="s">
        <v>354</v>
      </c>
      <c r="B1" s="57"/>
      <c r="C1" s="57"/>
      <c r="D1" s="57"/>
      <c r="E1" s="57"/>
      <c r="F1" s="57"/>
      <c r="G1" s="57"/>
      <c r="H1" s="57"/>
      <c r="I1" s="57"/>
      <c r="J1" s="57"/>
    </row>
    <row r="3" spans="1:10" ht="30" customHeight="1" x14ac:dyDescent="0.3">
      <c r="A3" s="2" t="s">
        <v>355</v>
      </c>
      <c r="B3" s="2" t="s">
        <v>356</v>
      </c>
      <c r="C3" s="2" t="s">
        <v>357</v>
      </c>
      <c r="D3" s="2" t="s">
        <v>358</v>
      </c>
      <c r="E3" s="2" t="s">
        <v>359</v>
      </c>
      <c r="F3" s="2" t="s">
        <v>360</v>
      </c>
      <c r="G3" s="2" t="s">
        <v>361</v>
      </c>
      <c r="H3" s="2" t="s">
        <v>362</v>
      </c>
      <c r="I3" s="2" t="s">
        <v>363</v>
      </c>
      <c r="J3" s="2" t="s">
        <v>364</v>
      </c>
    </row>
    <row r="4" spans="1:10" ht="15" customHeight="1" x14ac:dyDescent="0.3">
      <c r="A4" s="25" t="s">
        <v>332</v>
      </c>
      <c r="B4" s="30" t="s">
        <v>365</v>
      </c>
      <c r="C4" s="26">
        <v>120000</v>
      </c>
      <c r="D4" s="26">
        <v>3867.5</v>
      </c>
      <c r="E4" s="26">
        <v>396</v>
      </c>
      <c r="F4" s="26">
        <v>0</v>
      </c>
      <c r="G4" s="26">
        <v>28000</v>
      </c>
      <c r="H4" s="26">
        <v>6000</v>
      </c>
      <c r="I4" s="30" t="s">
        <v>109</v>
      </c>
      <c r="J4" s="30" t="s">
        <v>366</v>
      </c>
    </row>
    <row r="5" spans="1:10" ht="15" customHeight="1" x14ac:dyDescent="0.3">
      <c r="A5" s="25" t="s">
        <v>367</v>
      </c>
      <c r="B5" s="30" t="s">
        <v>368</v>
      </c>
      <c r="C5" s="26">
        <v>140000</v>
      </c>
      <c r="D5" s="26">
        <v>3867.5</v>
      </c>
      <c r="E5" s="26">
        <v>396</v>
      </c>
      <c r="F5" s="26">
        <v>1049.1199999999999</v>
      </c>
      <c r="G5" s="26">
        <v>30000</v>
      </c>
      <c r="H5" s="26">
        <v>0</v>
      </c>
      <c r="I5" s="30" t="s">
        <v>109</v>
      </c>
      <c r="J5" s="30" t="s">
        <v>366</v>
      </c>
    </row>
    <row r="6" spans="1:10" ht="15" customHeight="1" x14ac:dyDescent="0.3">
      <c r="A6" s="25" t="s">
        <v>369</v>
      </c>
      <c r="B6" s="30" t="s">
        <v>370</v>
      </c>
      <c r="C6" s="26">
        <v>90000</v>
      </c>
      <c r="D6" s="26">
        <v>3867.5</v>
      </c>
      <c r="E6" s="26">
        <v>396</v>
      </c>
      <c r="F6" s="26">
        <v>1049.1199999999999</v>
      </c>
      <c r="G6" s="26">
        <v>17100</v>
      </c>
      <c r="H6" s="26">
        <v>0</v>
      </c>
      <c r="I6" s="30" t="s">
        <v>109</v>
      </c>
      <c r="J6" s="30" t="s">
        <v>366</v>
      </c>
    </row>
    <row r="7" spans="1:10" ht="15" customHeight="1" x14ac:dyDescent="0.3">
      <c r="A7" s="25" t="s">
        <v>371</v>
      </c>
      <c r="B7" s="30" t="s">
        <v>372</v>
      </c>
      <c r="C7" s="26">
        <v>70000</v>
      </c>
      <c r="D7" s="26">
        <v>3867.5</v>
      </c>
      <c r="E7" s="26">
        <v>0</v>
      </c>
      <c r="F7" s="26">
        <v>1049.1199999999999</v>
      </c>
      <c r="G7" s="26">
        <v>11900</v>
      </c>
      <c r="H7" s="26">
        <v>0</v>
      </c>
      <c r="I7" s="30" t="s">
        <v>109</v>
      </c>
      <c r="J7" s="30" t="s">
        <v>366</v>
      </c>
    </row>
    <row r="8" spans="1:10" ht="15" customHeight="1" x14ac:dyDescent="0.3">
      <c r="A8" s="25" t="s">
        <v>373</v>
      </c>
      <c r="B8" s="30" t="s">
        <v>374</v>
      </c>
      <c r="C8" s="26">
        <v>95000</v>
      </c>
      <c r="D8" s="26">
        <v>3867.5</v>
      </c>
      <c r="E8" s="26">
        <v>396</v>
      </c>
      <c r="F8" s="26">
        <v>1049.1199999999999</v>
      </c>
      <c r="G8" s="26">
        <v>18500</v>
      </c>
      <c r="H8" s="26">
        <v>0</v>
      </c>
      <c r="I8" s="30" t="s">
        <v>375</v>
      </c>
      <c r="J8" s="30" t="s">
        <v>366</v>
      </c>
    </row>
    <row r="9" spans="1:10" ht="15" customHeight="1" x14ac:dyDescent="0.3">
      <c r="A9" s="25" t="s">
        <v>376</v>
      </c>
      <c r="B9" s="30" t="s">
        <v>374</v>
      </c>
      <c r="C9" s="26">
        <v>85000</v>
      </c>
      <c r="D9" s="26">
        <v>3867.5</v>
      </c>
      <c r="E9" s="26">
        <v>396</v>
      </c>
      <c r="F9" s="26">
        <v>1049.1199999999999</v>
      </c>
      <c r="G9" s="26">
        <v>15700</v>
      </c>
      <c r="H9" s="26">
        <v>0</v>
      </c>
      <c r="I9" s="30" t="s">
        <v>375</v>
      </c>
      <c r="J9" s="30" t="s">
        <v>366</v>
      </c>
    </row>
    <row r="10" spans="1:10" ht="15" customHeight="1" x14ac:dyDescent="0.3">
      <c r="A10" s="28"/>
      <c r="B10" s="28"/>
      <c r="C10" s="29"/>
      <c r="D10" s="29"/>
      <c r="E10" s="29"/>
      <c r="F10" s="29"/>
      <c r="G10" s="29"/>
      <c r="H10" s="29"/>
      <c r="I10" s="28"/>
      <c r="J10" s="28"/>
    </row>
    <row r="11" spans="1:10" ht="15" customHeight="1" x14ac:dyDescent="0.3">
      <c r="A11" s="28"/>
      <c r="B11" s="28"/>
      <c r="C11" s="29"/>
      <c r="D11" s="29"/>
      <c r="E11" s="29"/>
      <c r="F11" s="29"/>
      <c r="G11" s="29"/>
      <c r="H11" s="29"/>
      <c r="I11" s="28"/>
      <c r="J11" s="28"/>
    </row>
    <row r="12" spans="1:10" ht="15" customHeight="1" x14ac:dyDescent="0.3">
      <c r="A12" s="28"/>
      <c r="B12" s="28"/>
      <c r="C12" s="29"/>
      <c r="D12" s="29"/>
      <c r="E12" s="29"/>
      <c r="F12" s="29"/>
      <c r="G12" s="29"/>
      <c r="H12" s="29"/>
      <c r="I12" s="28"/>
      <c r="J12" s="28"/>
    </row>
    <row r="13" spans="1:10" ht="15" customHeight="1" x14ac:dyDescent="0.3">
      <c r="A13" s="17" t="s">
        <v>148</v>
      </c>
      <c r="B13" s="11"/>
      <c r="C13" s="16">
        <f t="shared" ref="C13:H13" si="0">SUM(C4:C12)</f>
        <v>600000</v>
      </c>
      <c r="D13" s="16">
        <f t="shared" si="0"/>
        <v>23205</v>
      </c>
      <c r="E13" s="16">
        <f t="shared" si="0"/>
        <v>1980</v>
      </c>
      <c r="F13" s="16">
        <f t="shared" si="0"/>
        <v>5245.5999999999995</v>
      </c>
      <c r="G13" s="16">
        <f t="shared" si="0"/>
        <v>121200</v>
      </c>
      <c r="H13" s="16">
        <f t="shared" si="0"/>
        <v>6000</v>
      </c>
      <c r="I13" s="11"/>
      <c r="J13" s="11"/>
    </row>
    <row r="15" spans="1:10" ht="18" customHeight="1" x14ac:dyDescent="0.3">
      <c r="A15" s="56" t="s">
        <v>377</v>
      </c>
      <c r="B15" s="57"/>
      <c r="C15" s="57"/>
      <c r="D15" s="57"/>
      <c r="E15" s="57"/>
      <c r="F15" s="57"/>
      <c r="G15" s="57"/>
      <c r="H15" s="57"/>
      <c r="I15" s="57"/>
      <c r="J15" s="57"/>
    </row>
    <row r="16" spans="1:10" ht="15" customHeight="1" x14ac:dyDescent="0.3">
      <c r="A16" s="58" t="s">
        <v>378</v>
      </c>
      <c r="B16" s="57"/>
      <c r="C16" s="42">
        <f>D13</f>
        <v>23205</v>
      </c>
    </row>
    <row r="17" spans="1:10" ht="15" customHeight="1" x14ac:dyDescent="0.3">
      <c r="A17" s="58" t="s">
        <v>379</v>
      </c>
      <c r="B17" s="57"/>
      <c r="C17" s="42">
        <f>E13</f>
        <v>1980</v>
      </c>
    </row>
    <row r="18" spans="1:10" ht="15" customHeight="1" x14ac:dyDescent="0.3">
      <c r="A18" s="58" t="s">
        <v>380</v>
      </c>
      <c r="B18" s="57"/>
      <c r="C18" s="42">
        <f>F13*1.4</f>
        <v>7343.8399999999983</v>
      </c>
    </row>
    <row r="19" spans="1:10" ht="15" customHeight="1" x14ac:dyDescent="0.3">
      <c r="A19" s="58" t="s">
        <v>381</v>
      </c>
      <c r="B19" s="57"/>
      <c r="C19" s="34">
        <v>600000</v>
      </c>
    </row>
    <row r="20" spans="1:10" ht="15" customHeight="1" x14ac:dyDescent="0.3">
      <c r="A20" s="58" t="s">
        <v>382</v>
      </c>
      <c r="B20" s="57"/>
      <c r="C20" s="43">
        <v>1.1499999999999999</v>
      </c>
      <c r="D20" s="1" t="s">
        <v>383</v>
      </c>
    </row>
    <row r="21" spans="1:10" ht="15" customHeight="1" x14ac:dyDescent="0.3">
      <c r="A21" s="58" t="s">
        <v>384</v>
      </c>
      <c r="B21" s="57"/>
      <c r="C21" s="44">
        <f>C19/100*C20</f>
        <v>6899.9999999999991</v>
      </c>
    </row>
    <row r="23" spans="1:10" ht="15" customHeight="1" x14ac:dyDescent="0.3">
      <c r="A23" s="67" t="s">
        <v>385</v>
      </c>
      <c r="B23" s="57"/>
      <c r="C23" s="57"/>
      <c r="D23" s="57"/>
      <c r="E23" s="57"/>
      <c r="F23" s="57"/>
      <c r="G23" s="57"/>
      <c r="H23" s="57"/>
      <c r="I23" s="57"/>
      <c r="J23" s="57"/>
    </row>
    <row r="24" spans="1:10" ht="15" customHeight="1" x14ac:dyDescent="0.3">
      <c r="A24" s="57"/>
      <c r="B24" s="57"/>
      <c r="C24" s="57"/>
      <c r="D24" s="57"/>
      <c r="E24" s="57"/>
      <c r="F24" s="57"/>
      <c r="G24" s="57"/>
      <c r="H24" s="57"/>
      <c r="I24" s="57"/>
      <c r="J24" s="57"/>
    </row>
    <row r="25" spans="1:10" ht="15" customHeight="1" x14ac:dyDescent="0.3">
      <c r="A25" s="57"/>
      <c r="B25" s="57"/>
      <c r="C25" s="57"/>
      <c r="D25" s="57"/>
      <c r="E25" s="57"/>
      <c r="F25" s="57"/>
      <c r="G25" s="57"/>
      <c r="H25" s="57"/>
      <c r="I25" s="57"/>
      <c r="J25" s="57"/>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386</v>
      </c>
      <c r="B1" s="57"/>
      <c r="C1" s="57"/>
      <c r="D1" s="57"/>
    </row>
    <row r="3" spans="1:4" ht="18" customHeight="1" x14ac:dyDescent="0.3">
      <c r="A3" s="56" t="s">
        <v>387</v>
      </c>
      <c r="B3" s="57"/>
      <c r="C3" s="57"/>
      <c r="D3" s="57"/>
    </row>
    <row r="4" spans="1:4" ht="15" customHeight="1" x14ac:dyDescent="0.3">
      <c r="A4" s="72" t="s">
        <v>388</v>
      </c>
      <c r="B4" s="64"/>
      <c r="C4" s="24" t="s">
        <v>113</v>
      </c>
    </row>
    <row r="5" spans="1:4" ht="15" customHeight="1" x14ac:dyDescent="0.3">
      <c r="A5" s="72" t="s">
        <v>389</v>
      </c>
      <c r="B5" s="64"/>
      <c r="C5" s="24" t="s">
        <v>104</v>
      </c>
    </row>
    <row r="6" spans="1:4" ht="15" customHeight="1" x14ac:dyDescent="0.3">
      <c r="A6" s="72" t="s">
        <v>390</v>
      </c>
      <c r="B6" s="64"/>
      <c r="C6" s="24" t="s">
        <v>391</v>
      </c>
    </row>
    <row r="7" spans="1:4" ht="15" customHeight="1" x14ac:dyDescent="0.3">
      <c r="A7" s="72" t="s">
        <v>392</v>
      </c>
      <c r="B7" s="64"/>
      <c r="C7" s="24" t="s">
        <v>122</v>
      </c>
    </row>
    <row r="8" spans="1:4" ht="15" customHeight="1" x14ac:dyDescent="0.3">
      <c r="A8" s="11"/>
      <c r="C8" s="11"/>
    </row>
    <row r="9" spans="1:4" ht="18" customHeight="1" x14ac:dyDescent="0.3">
      <c r="A9" s="65" t="s">
        <v>393</v>
      </c>
      <c r="B9" s="64"/>
      <c r="C9" s="64"/>
      <c r="D9" s="64"/>
    </row>
    <row r="10" spans="1:4" ht="15" customHeight="1" x14ac:dyDescent="0.3">
      <c r="A10" s="72" t="s">
        <v>394</v>
      </c>
      <c r="B10" s="64"/>
      <c r="C10" s="45">
        <f>'3. Income Statement'!B9</f>
        <v>1200000</v>
      </c>
    </row>
    <row r="11" spans="1:4" ht="15" customHeight="1" x14ac:dyDescent="0.3">
      <c r="A11" s="72" t="s">
        <v>395</v>
      </c>
      <c r="B11" s="64"/>
      <c r="C11" s="24" t="s">
        <v>396</v>
      </c>
    </row>
    <row r="12" spans="1:4" ht="15" customHeight="1" x14ac:dyDescent="0.3">
      <c r="A12" s="72" t="s">
        <v>397</v>
      </c>
      <c r="B12" s="64"/>
      <c r="C12" s="24" t="s">
        <v>396</v>
      </c>
    </row>
    <row r="13" spans="1:4" ht="15" customHeight="1" x14ac:dyDescent="0.3">
      <c r="A13" s="11"/>
      <c r="C13" s="11"/>
    </row>
    <row r="14" spans="1:4" ht="18" customHeight="1" x14ac:dyDescent="0.3">
      <c r="A14" s="65" t="s">
        <v>398</v>
      </c>
      <c r="B14" s="64"/>
      <c r="C14" s="64"/>
      <c r="D14" s="64"/>
    </row>
    <row r="15" spans="1:4" ht="15" customHeight="1" x14ac:dyDescent="0.3">
      <c r="A15" s="72" t="s">
        <v>399</v>
      </c>
      <c r="B15" s="64"/>
      <c r="C15" s="46">
        <f>INDEX('Province Rate Reference'!$F$5:$F$17,MATCH('1. Entity Setup'!$C$12,'Province Rate Reference'!$A$5:$A$17,0))</f>
        <v>0.05</v>
      </c>
    </row>
    <row r="16" spans="1:4" ht="15" customHeight="1" x14ac:dyDescent="0.3">
      <c r="A16" s="72" t="s">
        <v>400</v>
      </c>
      <c r="B16" s="64"/>
      <c r="C16" s="47">
        <f>C10*C15</f>
        <v>60000</v>
      </c>
    </row>
    <row r="17" spans="1:4" ht="15" customHeight="1" x14ac:dyDescent="0.3">
      <c r="A17" s="11"/>
      <c r="C17" s="11"/>
    </row>
    <row r="18" spans="1:4" ht="18" customHeight="1" x14ac:dyDescent="0.3">
      <c r="A18" s="65" t="s">
        <v>401</v>
      </c>
      <c r="B18" s="64"/>
      <c r="C18" s="64"/>
      <c r="D18" s="64"/>
    </row>
    <row r="19" spans="1:4" ht="23.85" customHeight="1" x14ac:dyDescent="0.3">
      <c r="A19" s="32" t="s">
        <v>402</v>
      </c>
      <c r="C19" s="26">
        <v>42000</v>
      </c>
    </row>
    <row r="20" spans="1:4" ht="32.85" customHeight="1" x14ac:dyDescent="0.3">
      <c r="A20" s="32" t="s">
        <v>403</v>
      </c>
      <c r="C20" s="26">
        <v>4000</v>
      </c>
      <c r="D20" s="13" t="s">
        <v>404</v>
      </c>
    </row>
    <row r="21" spans="1:4" ht="32.85" customHeight="1" x14ac:dyDescent="0.3">
      <c r="A21" s="32" t="s">
        <v>405</v>
      </c>
      <c r="C21" s="26">
        <v>750</v>
      </c>
      <c r="D21" s="13" t="s">
        <v>406</v>
      </c>
    </row>
    <row r="22" spans="1:4" ht="15" customHeight="1" x14ac:dyDescent="0.3">
      <c r="A22" s="32" t="s">
        <v>407</v>
      </c>
      <c r="C22" s="26">
        <v>1350</v>
      </c>
    </row>
    <row r="23" spans="1:4" ht="15" customHeight="1" x14ac:dyDescent="0.3">
      <c r="A23" s="31"/>
      <c r="C23" s="29"/>
    </row>
    <row r="24" spans="1:4" ht="15" customHeight="1" x14ac:dyDescent="0.3">
      <c r="A24" s="31"/>
      <c r="C24" s="29"/>
    </row>
    <row r="25" spans="1:4" ht="15" customHeight="1" x14ac:dyDescent="0.3">
      <c r="A25" s="17" t="s">
        <v>408</v>
      </c>
      <c r="C25" s="16">
        <f>SUM(C19:C24)</f>
        <v>48100</v>
      </c>
    </row>
    <row r="26" spans="1:4" ht="15" customHeight="1" x14ac:dyDescent="0.3">
      <c r="A26" s="11"/>
      <c r="C26" s="11"/>
    </row>
    <row r="27" spans="1:4" ht="18" customHeight="1" x14ac:dyDescent="0.3">
      <c r="A27" s="65" t="s">
        <v>409</v>
      </c>
      <c r="B27" s="64"/>
      <c r="C27" s="64"/>
      <c r="D27" s="64"/>
    </row>
    <row r="28" spans="1:4" ht="15" customHeight="1" x14ac:dyDescent="0.3">
      <c r="A28" s="18" t="s">
        <v>410</v>
      </c>
      <c r="B28" s="20"/>
      <c r="C28" s="48">
        <f>C16-C25</f>
        <v>11900</v>
      </c>
      <c r="D28" s="20"/>
    </row>
    <row r="29" spans="1:4" ht="15" customHeight="1" x14ac:dyDescent="0.3">
      <c r="A29" s="9" t="s">
        <v>411</v>
      </c>
      <c r="C29" s="9" t="str">
        <f>IF(C28&gt;3000,"Yes - instalments likely required","No")</f>
        <v>Yes - instalments likely required</v>
      </c>
    </row>
  </sheetData>
  <mergeCells count="15">
    <mergeCell ref="A27:D27"/>
    <mergeCell ref="A11:B11"/>
    <mergeCell ref="A3:D3"/>
    <mergeCell ref="A10:B10"/>
    <mergeCell ref="A5:B5"/>
    <mergeCell ref="A6:B6"/>
    <mergeCell ref="A14:D14"/>
    <mergeCell ref="A12:B12"/>
    <mergeCell ref="A4:B4"/>
    <mergeCell ref="A1:D1"/>
    <mergeCell ref="A9:D9"/>
    <mergeCell ref="A16:B16"/>
    <mergeCell ref="A18:D18"/>
    <mergeCell ref="A15:B15"/>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412</v>
      </c>
      <c r="B1" s="57"/>
      <c r="C1" s="57"/>
      <c r="D1" s="57"/>
    </row>
    <row r="3" spans="1:4" ht="18" customHeight="1" x14ac:dyDescent="0.3">
      <c r="A3" s="56" t="s">
        <v>413</v>
      </c>
      <c r="B3" s="57"/>
      <c r="C3" s="57"/>
      <c r="D3" s="57"/>
    </row>
    <row r="4" spans="1:4" ht="22.35" customHeight="1" x14ac:dyDescent="0.3">
      <c r="A4" s="66" t="s">
        <v>414</v>
      </c>
      <c r="B4" s="64"/>
      <c r="C4" s="64"/>
      <c r="D4" s="64"/>
    </row>
    <row r="5" spans="1:4" ht="15" customHeight="1" x14ac:dyDescent="0.3">
      <c r="A5" s="70" t="s">
        <v>415</v>
      </c>
      <c r="B5" s="69"/>
      <c r="C5" s="34">
        <v>28500</v>
      </c>
    </row>
    <row r="6" spans="1:4" ht="15" customHeight="1" x14ac:dyDescent="0.3">
      <c r="A6" s="70" t="s">
        <v>416</v>
      </c>
      <c r="B6" s="69"/>
      <c r="C6" s="34">
        <v>12100</v>
      </c>
    </row>
    <row r="7" spans="1:4" ht="15" customHeight="1" x14ac:dyDescent="0.3">
      <c r="A7" s="70" t="s">
        <v>417</v>
      </c>
      <c r="B7" s="69"/>
      <c r="C7" s="34">
        <v>24000</v>
      </c>
    </row>
    <row r="8" spans="1:4" ht="15" customHeight="1" x14ac:dyDescent="0.3">
      <c r="A8" s="70" t="s">
        <v>418</v>
      </c>
      <c r="B8" s="69"/>
      <c r="C8" s="34">
        <v>10200</v>
      </c>
    </row>
    <row r="9" spans="1:4" ht="15" customHeight="1" x14ac:dyDescent="0.3">
      <c r="A9" s="11"/>
      <c r="B9" s="11"/>
      <c r="C9" s="11"/>
    </row>
    <row r="10" spans="1:4" ht="15" customHeight="1" x14ac:dyDescent="0.3">
      <c r="A10" s="17" t="s">
        <v>419</v>
      </c>
      <c r="B10" s="11"/>
      <c r="C10" s="9" t="str">
        <f>IF(OR((C5+C6)&gt;3000,(C7+C8)&gt;3000),"Likely Yes — confirm vs. current-year Dashboard estimate","No")</f>
        <v>Likely Yes — confirm vs. current-year Dashboard estimate</v>
      </c>
    </row>
    <row r="11" spans="1:4" ht="15" customHeight="1" x14ac:dyDescent="0.3">
      <c r="A11" s="11"/>
      <c r="B11" s="11"/>
      <c r="C11" s="11"/>
    </row>
    <row r="12" spans="1:4" ht="18" customHeight="1" x14ac:dyDescent="0.3">
      <c r="A12" s="65" t="s">
        <v>420</v>
      </c>
      <c r="B12" s="64"/>
      <c r="C12" s="64"/>
      <c r="D12" s="64"/>
    </row>
    <row r="13" spans="1:4" ht="30" customHeight="1" x14ac:dyDescent="0.3">
      <c r="A13" s="2" t="s">
        <v>421</v>
      </c>
      <c r="B13" s="2" t="s">
        <v>152</v>
      </c>
      <c r="C13" s="2" t="s">
        <v>422</v>
      </c>
      <c r="D13" s="2" t="s">
        <v>143</v>
      </c>
    </row>
    <row r="14" spans="1:4" ht="15" customHeight="1" x14ac:dyDescent="0.3">
      <c r="A14" s="25" t="s">
        <v>423</v>
      </c>
      <c r="B14" s="26">
        <v>10125</v>
      </c>
      <c r="C14" s="30" t="s">
        <v>424</v>
      </c>
    </row>
    <row r="15" spans="1:4" ht="15" customHeight="1" x14ac:dyDescent="0.3">
      <c r="A15" s="25" t="s">
        <v>425</v>
      </c>
      <c r="B15" s="26">
        <v>10125</v>
      </c>
      <c r="C15" s="30" t="s">
        <v>424</v>
      </c>
    </row>
    <row r="16" spans="1:4" ht="15" customHeight="1" x14ac:dyDescent="0.3">
      <c r="A16" s="28"/>
      <c r="B16" s="29"/>
      <c r="C16" s="28"/>
      <c r="D16" s="28"/>
    </row>
    <row r="17" spans="1:4" ht="15" customHeight="1" x14ac:dyDescent="0.3">
      <c r="A17" s="28"/>
      <c r="B17" s="29"/>
      <c r="C17" s="28"/>
      <c r="D17" s="28"/>
    </row>
    <row r="18" spans="1:4" ht="15" customHeight="1" x14ac:dyDescent="0.3">
      <c r="A18" s="28"/>
      <c r="B18" s="29"/>
      <c r="C18" s="28"/>
      <c r="D18" s="28"/>
    </row>
    <row r="19" spans="1:4" ht="15" customHeight="1" x14ac:dyDescent="0.3">
      <c r="A19" s="28"/>
      <c r="B19" s="29"/>
      <c r="C19" s="28"/>
      <c r="D19" s="28"/>
    </row>
    <row r="20" spans="1:4" ht="15" customHeight="1" x14ac:dyDescent="0.3">
      <c r="A20" s="17" t="s">
        <v>426</v>
      </c>
      <c r="B20" s="16">
        <f>SUM(B14:B19)</f>
        <v>20250</v>
      </c>
      <c r="C20" s="11"/>
    </row>
    <row r="21" spans="1:4" ht="15" customHeight="1" x14ac:dyDescent="0.3">
      <c r="A21" s="11"/>
      <c r="B21" s="11"/>
      <c r="C21" s="11"/>
    </row>
    <row r="22" spans="1:4" ht="18" customHeight="1" x14ac:dyDescent="0.3">
      <c r="A22" s="65" t="s">
        <v>427</v>
      </c>
      <c r="B22" s="64"/>
      <c r="C22" s="64"/>
      <c r="D22" s="64"/>
    </row>
    <row r="23" spans="1:4" ht="15" customHeight="1" x14ac:dyDescent="0.3">
      <c r="A23" s="70" t="s">
        <v>428</v>
      </c>
      <c r="B23" s="69"/>
      <c r="C23" s="24" t="s">
        <v>396</v>
      </c>
    </row>
    <row r="24" spans="1:4" ht="15" customHeight="1" x14ac:dyDescent="0.3">
      <c r="A24" s="70" t="s">
        <v>429</v>
      </c>
      <c r="B24" s="69"/>
      <c r="C24" s="24" t="s">
        <v>396</v>
      </c>
    </row>
    <row r="25" spans="1:4" ht="15" customHeight="1" x14ac:dyDescent="0.3">
      <c r="A25" s="70" t="s">
        <v>430</v>
      </c>
      <c r="B25" s="69"/>
      <c r="C25" s="24" t="s">
        <v>396</v>
      </c>
    </row>
    <row r="26" spans="1:4" ht="15" customHeight="1" x14ac:dyDescent="0.3">
      <c r="A26" s="70" t="s">
        <v>431</v>
      </c>
      <c r="B26" s="69"/>
      <c r="C26" s="24" t="s">
        <v>113</v>
      </c>
      <c r="D26" s="1" t="s">
        <v>432</v>
      </c>
    </row>
    <row r="27" spans="1:4" ht="15" customHeight="1" x14ac:dyDescent="0.3">
      <c r="A27" s="70" t="s">
        <v>433</v>
      </c>
      <c r="B27" s="69"/>
      <c r="C27" s="24" t="s">
        <v>113</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60" t="s">
        <v>434</v>
      </c>
      <c r="B1" s="57"/>
      <c r="C1" s="57"/>
      <c r="D1" s="57"/>
    </row>
    <row r="3" spans="1:4" ht="18" customHeight="1" x14ac:dyDescent="0.3">
      <c r="A3" s="56" t="s">
        <v>435</v>
      </c>
      <c r="B3" s="57"/>
      <c r="C3" s="57"/>
      <c r="D3" s="57"/>
    </row>
    <row r="4" spans="1:4" ht="15" customHeight="1" x14ac:dyDescent="0.3">
      <c r="A4" s="70" t="s">
        <v>436</v>
      </c>
      <c r="B4" s="69"/>
      <c r="C4" s="34">
        <v>65000</v>
      </c>
    </row>
    <row r="5" spans="1:4" ht="15" customHeight="1" x14ac:dyDescent="0.3">
      <c r="A5" s="70" t="s">
        <v>437</v>
      </c>
      <c r="B5" s="69"/>
      <c r="C5" s="49">
        <v>3000000</v>
      </c>
    </row>
    <row r="6" spans="1:4" ht="53.7" customHeight="1" x14ac:dyDescent="0.3">
      <c r="A6" s="39" t="s">
        <v>438</v>
      </c>
      <c r="B6" s="11"/>
      <c r="C6" s="11"/>
    </row>
    <row r="7" spans="1:4" ht="15" customHeight="1" x14ac:dyDescent="0.3">
      <c r="A7" s="70" t="s">
        <v>439</v>
      </c>
      <c r="B7" s="69"/>
      <c r="C7" s="34">
        <v>240000</v>
      </c>
    </row>
    <row r="8" spans="1:4" ht="15" customHeight="1" x14ac:dyDescent="0.3">
      <c r="A8" s="70" t="s">
        <v>440</v>
      </c>
      <c r="B8" s="69"/>
      <c r="C8" s="24" t="s">
        <v>113</v>
      </c>
    </row>
    <row r="9" spans="1:4" ht="15" customHeight="1" x14ac:dyDescent="0.3">
      <c r="A9" s="17" t="s">
        <v>441</v>
      </c>
      <c r="B9" s="11"/>
      <c r="C9" s="16">
        <f>C4*IF(C8="Yes",0.35,0.15)</f>
        <v>22750</v>
      </c>
    </row>
    <row r="10" spans="1:4" ht="15" customHeight="1" x14ac:dyDescent="0.3">
      <c r="A10" s="11"/>
      <c r="B10" s="11"/>
      <c r="C10" s="11"/>
    </row>
    <row r="11" spans="1:4" ht="18" customHeight="1" x14ac:dyDescent="0.3">
      <c r="A11" s="65" t="s">
        <v>442</v>
      </c>
      <c r="B11" s="64"/>
      <c r="C11" s="64"/>
      <c r="D11" s="64"/>
    </row>
    <row r="12" spans="1:4" ht="22.35" customHeight="1" x14ac:dyDescent="0.3">
      <c r="A12" s="66" t="s">
        <v>443</v>
      </c>
      <c r="B12" s="64"/>
      <c r="C12" s="64"/>
      <c r="D12" s="64"/>
    </row>
    <row r="13" spans="1:4" ht="15" customHeight="1" x14ac:dyDescent="0.3">
      <c r="A13" s="70" t="s">
        <v>444</v>
      </c>
      <c r="B13" s="69"/>
      <c r="C13" s="24" t="s">
        <v>445</v>
      </c>
    </row>
    <row r="14" spans="1:4" ht="15" customHeight="1" x14ac:dyDescent="0.3">
      <c r="A14" s="70" t="s">
        <v>446</v>
      </c>
      <c r="B14" s="69"/>
      <c r="C14" s="34">
        <v>9750</v>
      </c>
    </row>
    <row r="15" spans="1:4" ht="15" customHeight="1" x14ac:dyDescent="0.3">
      <c r="A15" s="11"/>
      <c r="B15" s="11"/>
      <c r="C15" s="11"/>
    </row>
    <row r="16" spans="1:4" ht="18" customHeight="1" x14ac:dyDescent="0.3">
      <c r="A16" s="65" t="s">
        <v>447</v>
      </c>
      <c r="B16" s="64"/>
      <c r="C16" s="64"/>
      <c r="D16" s="64"/>
    </row>
    <row r="17" spans="1:4" ht="30" customHeight="1" x14ac:dyDescent="0.3">
      <c r="A17" s="2" t="s">
        <v>448</v>
      </c>
      <c r="B17" s="2" t="s">
        <v>449</v>
      </c>
      <c r="C17" s="2" t="s">
        <v>450</v>
      </c>
      <c r="D17" s="2" t="s">
        <v>143</v>
      </c>
    </row>
    <row r="18" spans="1:4" ht="43.2" customHeight="1" x14ac:dyDescent="0.3">
      <c r="A18" s="25">
        <v>2025</v>
      </c>
      <c r="B18" s="26">
        <v>8000</v>
      </c>
      <c r="C18" s="9">
        <f>A18+5</f>
        <v>2030</v>
      </c>
      <c r="D18" s="13" t="s">
        <v>451</v>
      </c>
    </row>
    <row r="19" spans="1:4" ht="15" customHeight="1" x14ac:dyDescent="0.3">
      <c r="A19" s="28"/>
      <c r="B19" s="29"/>
      <c r="C19" s="9">
        <f>IF(A19=0,0,A19+5)</f>
        <v>0</v>
      </c>
    </row>
  </sheetData>
  <mergeCells count="11">
    <mergeCell ref="A13:B13"/>
    <mergeCell ref="A14:B14"/>
    <mergeCell ref="A16:D16"/>
    <mergeCell ref="A11:D11"/>
    <mergeCell ref="A8:B8"/>
    <mergeCell ref="A4:B4"/>
    <mergeCell ref="A1:D1"/>
    <mergeCell ref="A7:B7"/>
    <mergeCell ref="A12:D12"/>
    <mergeCell ref="A3:D3"/>
    <mergeCell ref="A5:B5"/>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60" t="s">
        <v>452</v>
      </c>
      <c r="B1" s="57"/>
      <c r="C1" s="57"/>
      <c r="D1" s="57"/>
      <c r="E1" s="57"/>
      <c r="F1" s="57"/>
      <c r="G1" s="57"/>
      <c r="H1" s="57"/>
    </row>
    <row r="3" spans="1:8" ht="18" customHeight="1" x14ac:dyDescent="0.3">
      <c r="A3" s="56" t="s">
        <v>453</v>
      </c>
      <c r="B3" s="57"/>
      <c r="C3" s="57"/>
      <c r="D3" s="57"/>
      <c r="E3" s="57"/>
      <c r="F3" s="57"/>
      <c r="G3" s="57"/>
      <c r="H3" s="57"/>
    </row>
    <row r="4" spans="1:8" ht="30" customHeight="1" x14ac:dyDescent="0.3">
      <c r="A4" s="2" t="s">
        <v>454</v>
      </c>
      <c r="B4" s="2" t="s">
        <v>455</v>
      </c>
      <c r="C4" s="2" t="s">
        <v>456</v>
      </c>
      <c r="D4" s="2" t="s">
        <v>457</v>
      </c>
      <c r="E4" s="2" t="s">
        <v>458</v>
      </c>
      <c r="F4" s="2" t="s">
        <v>459</v>
      </c>
      <c r="G4" s="2" t="s">
        <v>460</v>
      </c>
      <c r="H4" s="2" t="s">
        <v>143</v>
      </c>
    </row>
    <row r="5" spans="1:8" ht="46.2" customHeight="1" x14ac:dyDescent="0.3">
      <c r="A5" s="25" t="s">
        <v>98</v>
      </c>
      <c r="B5" s="30" t="s">
        <v>332</v>
      </c>
      <c r="C5" s="26">
        <v>1000000</v>
      </c>
      <c r="D5" s="26">
        <v>35000</v>
      </c>
      <c r="E5" s="26">
        <v>18000</v>
      </c>
      <c r="F5" s="26">
        <v>6200</v>
      </c>
      <c r="G5" s="30" t="s">
        <v>461</v>
      </c>
      <c r="H5" s="32" t="s">
        <v>462</v>
      </c>
    </row>
    <row r="6" spans="1:8" ht="15" customHeight="1" x14ac:dyDescent="0.3">
      <c r="A6" s="28"/>
      <c r="B6" s="28"/>
      <c r="C6" s="29"/>
      <c r="D6" s="29"/>
      <c r="E6" s="29"/>
      <c r="F6" s="29"/>
      <c r="G6" s="28"/>
      <c r="H6" s="28"/>
    </row>
    <row r="7" spans="1:8" ht="15" customHeight="1" x14ac:dyDescent="0.3">
      <c r="A7" s="28"/>
      <c r="B7" s="28"/>
      <c r="C7" s="29"/>
      <c r="D7" s="29"/>
      <c r="E7" s="29"/>
      <c r="F7" s="29"/>
      <c r="G7" s="28"/>
      <c r="H7" s="28"/>
    </row>
    <row r="8" spans="1:8" ht="15" customHeight="1" x14ac:dyDescent="0.3">
      <c r="A8" s="11"/>
      <c r="B8" s="11"/>
      <c r="C8" s="11"/>
      <c r="D8" s="11"/>
      <c r="E8" s="11"/>
      <c r="F8" s="11"/>
      <c r="G8" s="11"/>
      <c r="H8" s="11"/>
    </row>
    <row r="9" spans="1:8" ht="18" customHeight="1" x14ac:dyDescent="0.3">
      <c r="A9" s="71" t="s">
        <v>463</v>
      </c>
      <c r="B9" s="64"/>
      <c r="C9" s="64"/>
      <c r="D9" s="64"/>
      <c r="E9" s="64"/>
      <c r="F9" s="64"/>
      <c r="G9" s="64"/>
      <c r="H9" s="69"/>
    </row>
    <row r="10" spans="1:8" ht="30" customHeight="1" x14ac:dyDescent="0.3">
      <c r="A10" s="2" t="s">
        <v>464</v>
      </c>
      <c r="B10" s="2" t="s">
        <v>465</v>
      </c>
      <c r="C10" s="2" t="s">
        <v>152</v>
      </c>
      <c r="D10" s="2" t="s">
        <v>466</v>
      </c>
      <c r="E10" s="2"/>
      <c r="F10" s="2"/>
      <c r="G10" s="2"/>
      <c r="H10" s="2" t="s">
        <v>143</v>
      </c>
    </row>
    <row r="11" spans="1:8" ht="15" customHeight="1" x14ac:dyDescent="0.3">
      <c r="A11" s="28"/>
      <c r="B11" s="28"/>
      <c r="C11" s="29"/>
      <c r="D11" s="29"/>
      <c r="E11" s="11"/>
      <c r="F11" s="11"/>
      <c r="G11" s="11"/>
      <c r="H11" s="81" t="s">
        <v>467</v>
      </c>
    </row>
    <row r="12" spans="1:8" ht="15" customHeight="1" x14ac:dyDescent="0.3">
      <c r="A12" s="28"/>
      <c r="B12" s="28"/>
      <c r="C12" s="29"/>
      <c r="D12" s="29"/>
      <c r="E12" s="11"/>
      <c r="F12" s="11"/>
      <c r="G12" s="11"/>
      <c r="H12" s="82"/>
    </row>
    <row r="13" spans="1:8" ht="15" customHeight="1" x14ac:dyDescent="0.3">
      <c r="A13" s="11"/>
      <c r="B13" s="11"/>
      <c r="C13" s="11"/>
      <c r="D13" s="11"/>
      <c r="E13" s="11"/>
      <c r="F13" s="11"/>
      <c r="G13" s="11"/>
      <c r="H13" s="83"/>
    </row>
    <row r="14" spans="1:8" ht="18" customHeight="1" x14ac:dyDescent="0.3">
      <c r="A14" s="71" t="s">
        <v>468</v>
      </c>
      <c r="B14" s="64"/>
      <c r="C14" s="64"/>
      <c r="D14" s="64"/>
      <c r="E14" s="64"/>
      <c r="F14" s="64"/>
      <c r="G14" s="64"/>
      <c r="H14" s="69"/>
    </row>
    <row r="15" spans="1:8" ht="15" customHeight="1" x14ac:dyDescent="0.3">
      <c r="A15" s="81" t="s">
        <v>469</v>
      </c>
      <c r="B15" s="64"/>
      <c r="C15" s="64"/>
      <c r="D15" s="64"/>
      <c r="E15" s="64"/>
      <c r="F15" s="64"/>
      <c r="G15" s="64"/>
      <c r="H15" s="69"/>
    </row>
    <row r="16" spans="1:8" ht="15" customHeight="1" x14ac:dyDescent="0.3">
      <c r="A16" s="73"/>
      <c r="B16" s="74"/>
      <c r="C16" s="74"/>
      <c r="D16" s="74"/>
      <c r="E16" s="74"/>
      <c r="F16" s="74"/>
      <c r="G16" s="74"/>
      <c r="H16" s="75"/>
    </row>
    <row r="17" spans="1:8" ht="15" customHeight="1" x14ac:dyDescent="0.3">
      <c r="A17" s="76"/>
      <c r="B17" s="57"/>
      <c r="C17" s="57"/>
      <c r="D17" s="57"/>
      <c r="E17" s="57"/>
      <c r="F17" s="57"/>
      <c r="G17" s="57"/>
      <c r="H17" s="77"/>
    </row>
    <row r="18" spans="1:8" ht="15" customHeight="1" x14ac:dyDescent="0.3">
      <c r="A18" s="78"/>
      <c r="B18" s="79"/>
      <c r="C18" s="79"/>
      <c r="D18" s="79"/>
      <c r="E18" s="79"/>
      <c r="F18" s="79"/>
      <c r="G18" s="79"/>
      <c r="H18" s="80"/>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60" t="s">
        <v>470</v>
      </c>
      <c r="B1" s="57"/>
      <c r="C1" s="57"/>
      <c r="D1" s="57"/>
      <c r="E1" s="57"/>
      <c r="F1" s="57"/>
      <c r="G1" s="57"/>
    </row>
    <row r="2" spans="1:7" ht="24" customHeight="1" x14ac:dyDescent="0.3">
      <c r="A2" s="59" t="s">
        <v>471</v>
      </c>
      <c r="B2" s="57"/>
      <c r="C2" s="57"/>
      <c r="D2" s="57"/>
      <c r="E2" s="57"/>
      <c r="F2" s="57"/>
      <c r="G2" s="57"/>
    </row>
    <row r="4" spans="1:7" ht="30" customHeight="1" x14ac:dyDescent="0.3">
      <c r="A4" s="2" t="s">
        <v>136</v>
      </c>
      <c r="B4" s="2" t="s">
        <v>472</v>
      </c>
      <c r="C4" s="2" t="s">
        <v>473</v>
      </c>
      <c r="D4" s="2" t="s">
        <v>474</v>
      </c>
      <c r="E4" s="2" t="s">
        <v>475</v>
      </c>
      <c r="F4" s="2" t="s">
        <v>476</v>
      </c>
      <c r="G4" s="2" t="s">
        <v>143</v>
      </c>
    </row>
    <row r="5" spans="1:7" ht="22.35" customHeight="1" x14ac:dyDescent="0.3">
      <c r="A5" s="50" t="s">
        <v>109</v>
      </c>
      <c r="B5" s="51">
        <v>0.23</v>
      </c>
      <c r="C5" s="51">
        <v>0.11</v>
      </c>
      <c r="D5" s="52">
        <v>500000</v>
      </c>
      <c r="E5" s="50" t="s">
        <v>477</v>
      </c>
      <c r="F5" s="53">
        <v>0.05</v>
      </c>
      <c r="G5" s="39" t="s">
        <v>478</v>
      </c>
    </row>
    <row r="6" spans="1:7" ht="22.35" customHeight="1" x14ac:dyDescent="0.3">
      <c r="A6" s="50" t="s">
        <v>479</v>
      </c>
      <c r="B6" s="51">
        <v>0.27</v>
      </c>
      <c r="C6" s="51">
        <v>0.11</v>
      </c>
      <c r="D6" s="52">
        <v>500000</v>
      </c>
      <c r="E6" s="50" t="s">
        <v>480</v>
      </c>
      <c r="F6" s="53">
        <v>0.05</v>
      </c>
      <c r="G6" s="39" t="s">
        <v>481</v>
      </c>
    </row>
    <row r="7" spans="1:7" ht="15" customHeight="1" x14ac:dyDescent="0.3">
      <c r="A7" s="50" t="s">
        <v>482</v>
      </c>
      <c r="B7" s="51">
        <v>0.27</v>
      </c>
      <c r="C7" s="51">
        <v>0.1</v>
      </c>
      <c r="D7" s="52">
        <v>500000</v>
      </c>
      <c r="E7" s="50" t="s">
        <v>483</v>
      </c>
      <c r="F7" s="53">
        <v>0.05</v>
      </c>
      <c r="G7" s="39" t="s">
        <v>484</v>
      </c>
    </row>
    <row r="8" spans="1:7" ht="22.35" customHeight="1" x14ac:dyDescent="0.3">
      <c r="A8" s="50" t="s">
        <v>485</v>
      </c>
      <c r="B8" s="51">
        <v>0.27</v>
      </c>
      <c r="C8" s="51">
        <v>0.09</v>
      </c>
      <c r="D8" s="52">
        <v>500000</v>
      </c>
      <c r="E8" s="50" t="s">
        <v>486</v>
      </c>
      <c r="F8" s="53">
        <v>0.05</v>
      </c>
      <c r="G8" s="39" t="s">
        <v>487</v>
      </c>
    </row>
    <row r="9" spans="1:7" ht="22.35" customHeight="1" x14ac:dyDescent="0.3">
      <c r="A9" s="50" t="s">
        <v>375</v>
      </c>
      <c r="B9" s="51">
        <v>0.26500000000000001</v>
      </c>
      <c r="C9" s="51">
        <v>0.122</v>
      </c>
      <c r="D9" s="52">
        <v>500000</v>
      </c>
      <c r="E9" s="50" t="s">
        <v>488</v>
      </c>
      <c r="F9" s="53">
        <v>0.13</v>
      </c>
      <c r="G9" s="39" t="s">
        <v>489</v>
      </c>
    </row>
    <row r="10" spans="1:7" ht="22.35" customHeight="1" x14ac:dyDescent="0.3">
      <c r="A10" s="50" t="s">
        <v>490</v>
      </c>
      <c r="B10" s="51">
        <v>0.26500000000000001</v>
      </c>
      <c r="C10" s="51">
        <v>0.122</v>
      </c>
      <c r="D10" s="52">
        <v>500000</v>
      </c>
      <c r="E10" s="50" t="s">
        <v>491</v>
      </c>
      <c r="F10" s="53">
        <v>0.14974999999999999</v>
      </c>
      <c r="G10" s="39" t="s">
        <v>492</v>
      </c>
    </row>
    <row r="11" spans="1:7" ht="15" customHeight="1" x14ac:dyDescent="0.3">
      <c r="A11" s="50" t="s">
        <v>493</v>
      </c>
      <c r="B11" s="51">
        <v>0.28999999999999998</v>
      </c>
      <c r="C11" s="51">
        <v>0.115</v>
      </c>
      <c r="D11" s="52">
        <v>500000</v>
      </c>
      <c r="E11" s="50" t="s">
        <v>488</v>
      </c>
      <c r="F11" s="53">
        <v>0.15</v>
      </c>
      <c r="G11" s="39"/>
    </row>
    <row r="12" spans="1:7" ht="22.35" customHeight="1" x14ac:dyDescent="0.3">
      <c r="A12" s="50" t="s">
        <v>494</v>
      </c>
      <c r="B12" s="51">
        <v>0.28999999999999998</v>
      </c>
      <c r="C12" s="51">
        <v>0.115</v>
      </c>
      <c r="D12" s="52">
        <v>500000</v>
      </c>
      <c r="E12" s="50" t="s">
        <v>488</v>
      </c>
      <c r="F12" s="53">
        <v>0.14000000000000001</v>
      </c>
      <c r="G12" s="39" t="s">
        <v>495</v>
      </c>
    </row>
    <row r="13" spans="1:7" ht="22.35" customHeight="1" x14ac:dyDescent="0.3">
      <c r="A13" s="50" t="s">
        <v>496</v>
      </c>
      <c r="B13" s="51">
        <v>0.31</v>
      </c>
      <c r="C13" s="51">
        <v>0.1</v>
      </c>
      <c r="D13" s="52">
        <v>500000</v>
      </c>
      <c r="E13" s="50" t="s">
        <v>488</v>
      </c>
      <c r="F13" s="53">
        <v>0.15</v>
      </c>
      <c r="G13" s="39" t="s">
        <v>497</v>
      </c>
    </row>
    <row r="14" spans="1:7" ht="22.35" customHeight="1" x14ac:dyDescent="0.3">
      <c r="A14" s="50" t="s">
        <v>498</v>
      </c>
      <c r="B14" s="51">
        <v>0.3</v>
      </c>
      <c r="C14" s="51">
        <v>0.115</v>
      </c>
      <c r="D14" s="52">
        <v>500000</v>
      </c>
      <c r="E14" s="50" t="s">
        <v>488</v>
      </c>
      <c r="F14" s="53">
        <v>0.15</v>
      </c>
      <c r="G14" s="39" t="s">
        <v>497</v>
      </c>
    </row>
    <row r="15" spans="1:7" ht="15" customHeight="1" x14ac:dyDescent="0.3">
      <c r="A15" s="50" t="s">
        <v>499</v>
      </c>
      <c r="B15" s="51">
        <v>0.27</v>
      </c>
      <c r="C15" s="51">
        <v>0.09</v>
      </c>
      <c r="D15" s="52">
        <v>500000</v>
      </c>
      <c r="E15" s="50" t="s">
        <v>477</v>
      </c>
      <c r="F15" s="53">
        <v>0.05</v>
      </c>
      <c r="G15" s="39" t="s">
        <v>500</v>
      </c>
    </row>
    <row r="16" spans="1:7" ht="15" customHeight="1" x14ac:dyDescent="0.3">
      <c r="A16" s="50" t="s">
        <v>501</v>
      </c>
      <c r="B16" s="51">
        <v>0.26500000000000001</v>
      </c>
      <c r="C16" s="51">
        <v>0.11</v>
      </c>
      <c r="D16" s="52">
        <v>500000</v>
      </c>
      <c r="E16" s="50" t="s">
        <v>477</v>
      </c>
      <c r="F16" s="53">
        <v>0.05</v>
      </c>
      <c r="G16" s="39"/>
    </row>
    <row r="17" spans="1:7" ht="15" customHeight="1" x14ac:dyDescent="0.3">
      <c r="A17" s="50" t="s">
        <v>502</v>
      </c>
      <c r="B17" s="51">
        <v>0.27</v>
      </c>
      <c r="C17" s="51">
        <v>0.12</v>
      </c>
      <c r="D17" s="52">
        <v>500000</v>
      </c>
      <c r="E17" s="50" t="s">
        <v>477</v>
      </c>
      <c r="F17" s="53">
        <v>0.05</v>
      </c>
      <c r="G17" s="39"/>
    </row>
    <row r="19" spans="1:7" ht="22.35" customHeight="1" x14ac:dyDescent="0.3">
      <c r="A19" s="67" t="s">
        <v>503</v>
      </c>
      <c r="B19" s="57"/>
      <c r="C19" s="57"/>
      <c r="D19" s="57"/>
      <c r="E19" s="57"/>
      <c r="F19" s="57"/>
      <c r="G19" s="57"/>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4" t="s">
        <v>136</v>
      </c>
      <c r="B1" s="54" t="s">
        <v>504</v>
      </c>
      <c r="C1" s="54" t="s">
        <v>286</v>
      </c>
      <c r="D1" s="54" t="s">
        <v>364</v>
      </c>
      <c r="E1" s="54" t="s">
        <v>505</v>
      </c>
      <c r="F1" s="54" t="s">
        <v>330</v>
      </c>
      <c r="G1" s="54" t="s">
        <v>323</v>
      </c>
      <c r="H1" s="54" t="s">
        <v>324</v>
      </c>
      <c r="I1" s="54" t="s">
        <v>506</v>
      </c>
      <c r="J1" s="54" t="s">
        <v>507</v>
      </c>
      <c r="K1" s="54" t="s">
        <v>508</v>
      </c>
    </row>
    <row r="2" spans="1:11" ht="15" customHeight="1" x14ac:dyDescent="0.3">
      <c r="A2" s="4" t="s">
        <v>109</v>
      </c>
      <c r="B2" s="4" t="s">
        <v>113</v>
      </c>
      <c r="C2" s="4" t="s">
        <v>295</v>
      </c>
      <c r="D2" s="4" t="s">
        <v>366</v>
      </c>
      <c r="E2" s="4" t="s">
        <v>509</v>
      </c>
      <c r="F2" s="4" t="s">
        <v>334</v>
      </c>
      <c r="G2" s="4" t="s">
        <v>314</v>
      </c>
      <c r="H2" s="4" t="s">
        <v>333</v>
      </c>
      <c r="I2" s="4" t="s">
        <v>510</v>
      </c>
      <c r="J2" s="4" t="s">
        <v>182</v>
      </c>
      <c r="K2" s="4" t="s">
        <v>511</v>
      </c>
    </row>
    <row r="3" spans="1:11" ht="15" customHeight="1" x14ac:dyDescent="0.3">
      <c r="A3" s="4" t="s">
        <v>479</v>
      </c>
      <c r="B3" s="4" t="s">
        <v>122</v>
      </c>
      <c r="C3" s="4" t="s">
        <v>297</v>
      </c>
      <c r="D3" s="4" t="s">
        <v>512</v>
      </c>
      <c r="E3" s="4" t="s">
        <v>391</v>
      </c>
      <c r="F3" s="4" t="s">
        <v>513</v>
      </c>
      <c r="G3" s="4" t="s">
        <v>337</v>
      </c>
      <c r="H3" s="4" t="s">
        <v>338</v>
      </c>
      <c r="I3" s="4" t="s">
        <v>514</v>
      </c>
      <c r="J3" s="4" t="s">
        <v>180</v>
      </c>
      <c r="K3" s="4" t="s">
        <v>515</v>
      </c>
    </row>
    <row r="4" spans="1:11" ht="15" customHeight="1" x14ac:dyDescent="0.3">
      <c r="A4" s="4" t="s">
        <v>482</v>
      </c>
      <c r="B4" s="4" t="s">
        <v>516</v>
      </c>
      <c r="C4" s="4" t="s">
        <v>299</v>
      </c>
      <c r="D4" s="4" t="s">
        <v>517</v>
      </c>
      <c r="E4" s="4" t="s">
        <v>518</v>
      </c>
      <c r="F4" s="4" t="s">
        <v>519</v>
      </c>
      <c r="G4" s="4" t="s">
        <v>520</v>
      </c>
      <c r="H4" s="4" t="s">
        <v>343</v>
      </c>
      <c r="I4" s="4" t="s">
        <v>317</v>
      </c>
      <c r="J4" s="4" t="s">
        <v>191</v>
      </c>
      <c r="K4" s="4" t="s">
        <v>521</v>
      </c>
    </row>
    <row r="5" spans="1:11" ht="15" customHeight="1" x14ac:dyDescent="0.3">
      <c r="A5" s="4" t="s">
        <v>485</v>
      </c>
      <c r="C5" s="4" t="s">
        <v>522</v>
      </c>
      <c r="D5" s="4" t="s">
        <v>523</v>
      </c>
      <c r="F5" s="4" t="s">
        <v>524</v>
      </c>
      <c r="G5" s="4" t="s">
        <v>525</v>
      </c>
      <c r="H5" s="4" t="s">
        <v>526</v>
      </c>
      <c r="I5" s="4" t="s">
        <v>527</v>
      </c>
      <c r="J5" s="4" t="s">
        <v>528</v>
      </c>
    </row>
    <row r="6" spans="1:11" ht="15" customHeight="1" x14ac:dyDescent="0.3">
      <c r="A6" s="4" t="s">
        <v>375</v>
      </c>
      <c r="C6" s="4" t="s">
        <v>529</v>
      </c>
      <c r="F6" s="4" t="s">
        <v>339</v>
      </c>
      <c r="G6" s="4" t="s">
        <v>510</v>
      </c>
      <c r="H6" s="4" t="s">
        <v>530</v>
      </c>
    </row>
    <row r="7" spans="1:11" ht="15" customHeight="1" x14ac:dyDescent="0.3">
      <c r="A7" s="4" t="s">
        <v>490</v>
      </c>
      <c r="C7" s="4" t="s">
        <v>531</v>
      </c>
      <c r="F7" s="4" t="s">
        <v>344</v>
      </c>
      <c r="G7" s="4" t="s">
        <v>532</v>
      </c>
    </row>
    <row r="8" spans="1:11" ht="15" customHeight="1" x14ac:dyDescent="0.3">
      <c r="A8" s="4" t="s">
        <v>493</v>
      </c>
      <c r="C8" s="4" t="s">
        <v>302</v>
      </c>
      <c r="G8" s="4" t="s">
        <v>342</v>
      </c>
    </row>
    <row r="9" spans="1:11" ht="15" customHeight="1" x14ac:dyDescent="0.3">
      <c r="A9" s="4" t="s">
        <v>494</v>
      </c>
      <c r="C9" s="4" t="s">
        <v>300</v>
      </c>
      <c r="G9" s="4" t="s">
        <v>533</v>
      </c>
    </row>
    <row r="10" spans="1:11" ht="15" customHeight="1" x14ac:dyDescent="0.3">
      <c r="A10" s="4" t="s">
        <v>496</v>
      </c>
      <c r="C10" s="4" t="s">
        <v>534</v>
      </c>
    </row>
    <row r="11" spans="1:11" ht="15" customHeight="1" x14ac:dyDescent="0.3">
      <c r="A11" s="4" t="s">
        <v>498</v>
      </c>
      <c r="C11" s="4" t="s">
        <v>535</v>
      </c>
    </row>
    <row r="12" spans="1:11" ht="15" customHeight="1" x14ac:dyDescent="0.3">
      <c r="A12" s="4" t="s">
        <v>499</v>
      </c>
    </row>
    <row r="13" spans="1:11" ht="15" customHeight="1" x14ac:dyDescent="0.3">
      <c r="A13" s="4" t="s">
        <v>501</v>
      </c>
    </row>
    <row r="14" spans="1:11" ht="15" customHeight="1" x14ac:dyDescent="0.3">
      <c r="A14" s="4" t="s">
        <v>502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2026-10-05T19:01:21Z</dcterms:modified>
  <dc:language>en-US</dc:language>
</cp:coreProperties>
</file>